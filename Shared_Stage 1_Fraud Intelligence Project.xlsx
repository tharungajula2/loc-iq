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TART HERE" sheetId="1" r:id="rId5"/>
    <sheet state="visible" name="2. Output(Tentative)" sheetId="2" r:id="rId6"/>
    <sheet state="visible" name="3. Primary Identifiers" sheetId="3" r:id="rId7"/>
    <sheet state="visible" name="4. Fetched Data Fields" sheetId="4" r:id="rId8"/>
    <sheet state="visible" name="5. API Universe" sheetId="5" r:id="rId9"/>
  </sheets>
  <definedNames>
    <definedName hidden="1" localSheetId="1" name="_xlnm._FilterDatabase">'2. Output(Tentative)'!$A$1:$D$8</definedName>
  </definedNames>
  <calcPr/>
</workbook>
</file>

<file path=xl/sharedStrings.xml><?xml version="1.0" encoding="utf-8"?>
<sst xmlns="http://schemas.openxmlformats.org/spreadsheetml/2006/main" count="785" uniqueCount="677">
  <si>
    <t>Topic</t>
  </si>
  <si>
    <t>Explanation (Its all in IDEA stage)</t>
  </si>
  <si>
    <t>What we are building</t>
  </si>
  <si>
    <t>A tool that, from a handful of keys/identifiers about a loan customer, 
A) at application time, judges whether the address they GAVE is real
B) pinpoints the most likely PLACE they actually are - output as ranked candidate PIN-codes / lat-longs - and,  
It does this for two moments: when they apply, and after they vanish.</t>
  </si>
  <si>
    <t>The two jobs</t>
  </si>
  <si>
    <t>A = ADDRESS-TRUTH AT APPLICATION: is the address they declared real and consistent, or fake? (This is NOT credit/default scoring - other tools do that. We only judge the address.)  
B = LOCATE AT RECOVERY: if a fake slipped through and they defaulted and vanished, find where they most likely are now. Both are pure LOCATION problems.</t>
  </si>
  <si>
    <t>What comes out</t>
  </si>
  <si>
    <t>A ranked catalogue of precise candidate locations: candidate 1 = PIN 560037 (lat 12.97, lon 77.59) with a confidence, candidate 2 = next most likely, and so on. Maximal precision: PIN / lat-long, freshest and strongest first.</t>
  </si>
  <si>
    <t>What I type in</t>
  </si>
  <si>
    <t>A small set of 'keys' - the identifiers (mobile, PAN, declared address, device, IP, etc.). I do NOT type in everything; these keys are what the system uses to FETCH everything else from the sources.</t>
  </si>
  <si>
    <t>Where everything else comes from</t>
  </si>
  <si>
    <t xml:space="preserve">The Source Universe: every API / dataset / bank system that turns a key into values. </t>
  </si>
  <si>
    <t>What the system computes</t>
  </si>
  <si>
    <t>Derived variables: the helper values calculated from the fetched data (e.g. distance between declared and seen locations, how many places a person ties to).</t>
  </si>
  <si>
    <t>How it all runs</t>
  </si>
  <si>
    <t>How the Flow Works = the end-to-end pipeline. 
Graph Explainer = the engine: the person and all their addresses/devices/phones become a network of dots-and-lines, 
and the system reads off the place they connect to most strongly.</t>
  </si>
  <si>
    <t>What the tool returns</t>
  </si>
  <si>
    <t>Plain meaning</t>
  </si>
  <si>
    <t>Example value</t>
  </si>
  <si>
    <t>Why it's the output we want</t>
  </si>
  <si>
    <t>candidate_rank</t>
  </si>
  <si>
    <t>The position in the shortlist — candidate 1 is the single most likely place, candidate 2 the next, and so on. The tool never gives just one answer; it gives an ordered list to try.</t>
  </si>
  <si>
    <t>1</t>
  </si>
  <si>
    <t>A ranked list is actionable: you work down it, best lead first.</t>
  </si>
  <si>
    <t>candidate_pincode</t>
  </si>
  <si>
    <t>The 6-digit PIN-code of this candidate location. A PIN is a small area (often a few streets to a neighbourhood), so this is precise, not a vague region.</t>
  </si>
  <si>
    <t>560037</t>
  </si>
  <si>
    <t>Precise enough for a field agent to actually go there.</t>
  </si>
  <si>
    <t>candidate_lat_lon</t>
  </si>
  <si>
    <t>The exact map coordinates (latitude, longitude) for the centre of that candidate location — what you'd drop a pin on in Google Maps.</t>
  </si>
  <si>
    <t>12.9719, 77.6412</t>
  </si>
  <si>
    <t>Maximal precision: a point on the map, not a state.</t>
  </si>
  <si>
    <t>confidence</t>
  </si>
  <si>
    <t>A 0-to-1 score for how strongly the evidence backs this candidate. 0.80 = strong; 0.30 = weak/uncertain.</t>
  </si>
  <si>
    <t>0.74</t>
  </si>
  <si>
    <t>Tells you how much to trust each lead before spending effort.</t>
  </si>
  <si>
    <t>evidence_summary</t>
  </si>
  <si>
    <t>Plain text listing WHICH inputs pointed here and how fresh they are — so you can see the 'why' behind the rank.</t>
  </si>
  <si>
    <t>declared PIN + bureau current address + field visit 12 days ago</t>
  </si>
  <si>
    <t>Trust comes from seeing the reasons, not a black box.</t>
  </si>
  <si>
    <t>address_truth_flag (Obj. A)</t>
  </si>
  <si>
    <t>For application-time: GREEN = declared address looks real &amp; consistent; AMBER = some mismatch; RED = declared address contradicts everything we can see.</t>
  </si>
  <si>
    <t>AMBER</t>
  </si>
  <si>
    <t>This is Objective A's verdict on the address they gave.</t>
  </si>
  <si>
    <t>freshness_date</t>
  </si>
  <si>
    <t>The date of the most recent piece of evidence behind the top candidate. Old evidence = colder trail.</t>
  </si>
  <si>
    <t>2026-05-30</t>
  </si>
  <si>
    <t>A 2-week-old lead beats a 2-year-old one.</t>
  </si>
  <si>
    <t>PRIMARY IDENTIFIERS — the only things a human types into the tool</t>
  </si>
  <si>
    <t>These 6 are the KEYS(for now). Any ONE of them can be the entry point: you punch it in, and the tool uses it to FETCH everything else. Nothing on the next sheet (Data Fields) is typed by a human — it is all looked up using these keys. Read 'What this key unlocks' to see the power of each one.</t>
  </si>
  <si>
    <t>Category</t>
  </si>
  <si>
    <t>Identifier (the key you type)</t>
  </si>
  <si>
    <t>Where it comes from</t>
  </si>
  <si>
    <t>What it means</t>
  </si>
  <si>
    <t>Why it matters</t>
  </si>
  <si>
    <t>What this key unlocks (data + APIs)</t>
  </si>
  <si>
    <t>Derived columns later(Examples)</t>
  </si>
  <si>
    <t>Example</t>
  </si>
  <si>
    <t>Customer-given identity</t>
  </si>
  <si>
    <t>mobile_number</t>
  </si>
  <si>
    <t>The customer writes it on the application/contact form. The bank stores it in the customer record.</t>
  </si>
  <si>
    <t>The 10-digit Indian mobile number (begins with 6/7/8/9). It is TWO things at once: (a) a way to identify and reach the person, and (b) a weak location hint, because every number-series was first issued in a telecom 'circle' (a licence region like 'Karnataka' or 'Delhi').</t>
  </si>
  <si>
    <t>It is the most widely-accepted key in the outside world — caller-ID services, phone-intelligence vendors, and consent flows all take a phone number. It also gives a free, instant (if weak) original-region clue.</t>
  </si>
  <si>
    <t>phonenumbers library (validate + original circle); caller-ID/Truecaller-style name; phone-intelligence vendors (Twilio, DataYuge); the contact point for Account-Aggregator consent. NOTE: a number can NOT give live location, and number portability (people keeping a number when they move/switch operator) makes the original circle stale.</t>
  </si>
  <si>
    <t>9876543210</t>
  </si>
  <si>
    <t>pan</t>
  </si>
  <si>
    <t>Given by the customer at KYC (mandatory for a loan). Stored in the bank's KYC record.</t>
  </si>
  <si>
    <t>Permanent Account Number — the 10-character income-tax ID, shaped as 5 letters + 4 digits + 1 letter (e.g. ABCDE1234F). It is a strong, unique key for ONE person.</t>
  </si>
  <si>
    <t>This is THE key that unlocks the credit bureau, and the bureau holds the person's CURRENT and PREVIOUS addresses. For locating someone who has run, past addresses may be where they return — so this is one of the possible inputs.</t>
  </si>
  <si>
    <t>Credit-bureau report (CIBIL / Experian / Equifax / CRIF) pulled by the lender — returns address history, phone history, employment, and which lenders enquired from where. Also used to de-duplicate (spot the same person across applications).</t>
  </si>
  <si>
    <t>ABCDE1234F</t>
  </si>
  <si>
    <t>aadhaar_number</t>
  </si>
  <si>
    <t>Collected at KYC / given by the customer. Held inside KYC (usually masked).</t>
  </si>
  <si>
    <t>The 12-digit national identity number. It is the strongest unique person-key in India and is tied to a verified KYC address.</t>
  </si>
  <si>
    <t>As an internal identity key it is excellent for de-duplication — catching the same human applying under slightly different names, phones, or addresses — and it links to a KYC address.</t>
  </si>
  <si>
    <t>Internal identity match / de-duplication; KYC address retrieval; linkage into the CKYC registry. It is NOT a public-API location source by itself.</t>
  </si>
  <si>
    <t>12-digit number (kept masked)</t>
  </si>
  <si>
    <t>email_id</t>
  </si>
  <si>
    <t>Given by the customer on the application/contact form.</t>
  </si>
  <si>
    <t>The customer's email address. On its own it carries almost no geography (an @gmail.com tells you nothing about where they live).</t>
  </si>
  <si>
    <t>It is mainly an IDENTITY/linkage key, not a location key. Its real use is spotting the same email reused across many applications (a fraud-ring tell) and feeding people-data enrichment services that accept an email.</t>
  </si>
  <si>
    <t>People-data enrichment (PeopleDataLabs, Clearbit, FullContact); email-footprint tools (Hunter.io, HaveIBeenPwned); account linkage. Rarely returns real location.</t>
  </si>
  <si>
    <t>user@gmail.com</t>
  </si>
  <si>
    <t>System identity</t>
  </si>
  <si>
    <t>customer_key</t>
  </si>
  <si>
    <t>The bank's customer-master database, usually as a hashed/tokenised version of the real customer ID.</t>
  </si>
  <si>
    <t>A unique code that stands for ONE PERSON across all their cases (one person can have many loans/logins, but a single customer_key). 'Hashed/tokenised' means the real ID is replaced by a scrambled code that still works as a label but can't be read back into a name.</t>
  </si>
  <si>
    <t>It lets you gather EVERY event for the same person — five logins, two loans, three repayments — under one identity, so you see their full pattern, WITHOUT ever touching their name or Aadhaar.</t>
  </si>
  <si>
    <t>Pulls all of that person's events/history from the bank's own systems (it is the master 'show me everything about this person' key). It is an internal join key, not an external API.</t>
  </si>
  <si>
    <t>CUST_HASH_9F21</t>
  </si>
  <si>
    <t>case_id</t>
  </si>
  <si>
    <t>Created automatically by the bank's loan software — the LOS (Loan Origination System, which processes a new application) or LMS (Loan Management System, which runs the loan afterwards) — or by the collections system when a recovery case opens.</t>
  </si>
  <si>
    <t>A unique code for ONE application / loan / recovery case — like a docket number. It identifies the CASE (the event), not the person. One person can have several case_ids.</t>
  </si>
  <si>
    <t>It is the thread that ties every fetched value back to the right case. Without it, a fetched IP or address has nowhere to attach. You can also type it in to pull up everything known about that one case.</t>
  </si>
  <si>
    <t>Pulls the full case record from bank systems — declared address, branch, channel, timestamps, and the link to that customer's other cases. Internal join key, no external API.</t>
  </si>
  <si>
    <t>CASE_000123</t>
  </si>
  <si>
    <t>DATA FIELDS — everything the tool FETCHES using a key (never typed by a human)</t>
  </si>
  <si>
    <t>None of these are typed in. Each is fetched from a bank table or an outside source using one of the 6 Primary Identifiers. Columns C and D show WHICH key unlocks it and WHERE it physically sits.  •  WHAT 'DERIVED COLUMNS' MEANS (last column): a derived column is a NEW value the system CALCULATES from a value it already has — e.g. from PIN 560001 it derives state 'Karnataka'; from two coordinates it derives the distance between them. Raw value in -&gt; useful derived values out.</t>
  </si>
  <si>
    <t>Data field</t>
  </si>
  <si>
    <t>Fetched using which key(Example)</t>
  </si>
  <si>
    <t>Sits in (table / dataset / source)</t>
  </si>
  <si>
    <t>Why it matters(May be)</t>
  </si>
  <si>
    <t>Lookup/API it enables</t>
  </si>
  <si>
    <t>Derived columns later(Just an Idea)</t>
  </si>
  <si>
    <t>Event context</t>
  </si>
  <si>
    <t>event_ts</t>
  </si>
  <si>
    <t>case_id / customer_key</t>
  </si>
  <si>
    <t>Bank event log (LOS/LMS/app/txn/collection)  — bank-internal; needs bank permission</t>
  </si>
  <si>
    <t>Stamped automatically by whichever system recorded the event.</t>
  </si>
  <si>
    <t>'Event timestamp' — the exact date and time a thing happened (an application submitted, a login, a payment). 'ts' is just short for 'timestamp'.</t>
  </si>
  <si>
    <t>Location clues go stale. A login from Pune last week is far stronger evidence than one from 2022. Time is how the tool knows which clues to trust most.</t>
  </si>
  <si>
    <t>signal_age_days = how many days ago this happened (newer = stronger).  event_hour = hour of day 0-23.  event_dayofweek = Mon-Sun.  latest_signal_flag = is this the case's most recent signal? (yes/no).</t>
  </si>
  <si>
    <t>2026-06-09 10:30:00</t>
  </si>
  <si>
    <t>event_type</t>
  </si>
  <si>
    <t>Bank/application/collections logs  — bank-internal; needs bank permission</t>
  </si>
  <si>
    <t>Recorded by the system that logged the event.</t>
  </si>
  <si>
    <t>A label for WHAT happened: application_submit, login, repayment, field_visit, returned_mail, etc.</t>
  </si>
  <si>
    <t>Different events carry different trust. A field visit that physically confirmed someone is worth far more than a casual login. The type tells the tool how much weight to give the clue.</t>
  </si>
  <si>
    <t>event_trust_weight = a number for how much to trust this kind of event (a field visit &gt; a login).  signal_source_type = a tidy category of where the clue came from.</t>
  </si>
  <si>
    <t>login / repayment / field_visit</t>
  </si>
  <si>
    <t>source_system</t>
  </si>
  <si>
    <t>Bank system metadata  — bank-internal; needs bank permission</t>
  </si>
  <si>
    <t>Tagged by the bank's data pipeline.</t>
  </si>
  <si>
    <t>Which internal system produced this row (the mobile app, the LOS, the CRM, etc.).</t>
  </si>
  <si>
    <t>Helps trace data quality and ownership — some systems are cleaner than others, and knowing the origin helps debugging and auditing.</t>
  </si>
  <si>
    <t>source_priority = which system to believe first if two disagree.  audit_source = a clean label kept for tracing/debugging.</t>
  </si>
  <si>
    <t>mobile_app / LOS / LMS / CRM</t>
  </si>
  <si>
    <t>Digital location</t>
  </si>
  <si>
    <t>public_ip</t>
  </si>
  <si>
    <t>App/web/server login logs  — bank-internal; needs bank permission</t>
  </si>
  <si>
    <t>Captured automatically by the bank's app or website server the moment the customer connects.</t>
  </si>
  <si>
    <t>The public internet address the customer's device used (e.g. 103.21.244.1) — think of it as the 'return address' of their internet connection at that moment.</t>
  </si>
  <si>
    <t>It is the main location clue you can enrich with free public APIs — it gives an approximate city and flags like VPN/proxy. It is NOT the home address, but it's a real, cheap signal.</t>
  </si>
  <si>
    <t>ip_country / ip_state / ip_city = the place the IP resolves to.  ip_lat / ip_lon = its map point.  isp = the internet provider.  asn = the network number.  proxy_flag / hosting_flag = true if it's a VPN/proxy/datacentre (then trust the location less).</t>
  </si>
  <si>
    <t>103.21.244.1</t>
  </si>
  <si>
    <t>Declared geography</t>
  </si>
  <si>
    <t>declared_pincode</t>
  </si>
  <si>
    <t>customer_key / case_id</t>
  </si>
  <si>
    <t>Application / KYC record (bank)  — bank-internal; needs bank permission</t>
  </si>
  <si>
    <t>Part of the address the customer wrote on the form; held in the bank's record.</t>
  </si>
  <si>
    <t>The 6-digit PIN-code of the declared address. A PIN is a small postal area, so it pins location to roughly a neighbourhood, not a whole state.</t>
  </si>
  <si>
    <t>It is the cheapest, fastest consistency check: a PIN maps to exactly one real district/state, so if the declared city/state doesn't match the PIN's real one, that's an instant red flag.</t>
  </si>
  <si>
    <t>pincode_state / pincode_district = the real state/district that PIN belongs to.  pincode_zone = the broad postal zone (first digit of the PIN).  pincode_valid_flag = does this PIN actually exist? (yes/no).</t>
  </si>
  <si>
    <t>560001</t>
  </si>
  <si>
    <t>declared_city</t>
  </si>
  <si>
    <t>Application record (bank)  — bank-internal; needs bank permission</t>
  </si>
  <si>
    <t>Text the customer typed on the form.</t>
  </si>
  <si>
    <t>The city name the customer declared (free text, so spellings vary: 'Bengaluru' / 'Bangalore').</t>
  </si>
  <si>
    <t>Lets you cross-check the city against the PIN's real district/state and catch contradictions. Useful only after cleaning the spelling. Data preprocessing</t>
  </si>
  <si>
    <t>declared_city_lat_lon = the city turned into map coordinates.  city_state_match_flag = does the declared city actually sit in the declared/PIN state? (catches contradictions).</t>
  </si>
  <si>
    <t>Bengaluru</t>
  </si>
  <si>
    <t>declared_state</t>
  </si>
  <si>
    <t>The state the customer declared.</t>
  </si>
  <si>
    <t>A broad regional cross-check against the PIN and city. Needs spelling/old-name normalisation (e.g. old vs new state names) to be reliable. Data preprocessing</t>
  </si>
  <si>
    <t>declared_macro_region = the broad region (North/South/etc.) of the state.  state_normalized = the cleaned, standard spelling of the state name.</t>
  </si>
  <si>
    <t>Karnataka</t>
  </si>
  <si>
    <t>full_address_text</t>
  </si>
  <si>
    <t>The complete address line the customer wrote.</t>
  </si>
  <si>
    <t>The full street address (house, street, area, city, state).</t>
  </si>
  <si>
    <t>Useful for precise geocoding and address matching, but sends personal data to geocoders?</t>
  </si>
  <si>
    <t>address_geocode_confidence = if ever geocoded, how confident the match is (0-1).  (Parked for now — not used in this sheet.)</t>
  </si>
  <si>
    <t>12 MG Road, Indiranagar, Bengaluru 560038</t>
  </si>
  <si>
    <t>Branch geography</t>
  </si>
  <si>
    <t>branch_ifsc</t>
  </si>
  <si>
    <t>Loan account record (bank)  — bank-internal; needs bank permission</t>
  </si>
  <si>
    <t>From the loan record — the branch that sourced/disbursed the loan.</t>
  </si>
  <si>
    <t>The 11-character branch code (e.g. HDFC0000037). The first 4 letters are the bank; the rest identify the branch. It maps to one specific branch city.</t>
  </si>
  <si>
    <t>The branch a loan came from is a real-world clue to where the customer operates/transacts — an operational anchor, not proof of where they live.</t>
  </si>
  <si>
    <t>branch_city / branch_district / branch_state = where the branch physically is.  branch_region = its broad region.</t>
  </si>
  <si>
    <t>HDFC0000037</t>
  </si>
  <si>
    <t>sourcing_branch_id</t>
  </si>
  <si>
    <t>LOS / branch master (bank)  — bank-internal; needs bank permission</t>
  </si>
  <si>
    <t>From the loan-origination record when an IFSC isn't captured.</t>
  </si>
  <si>
    <t>An internal branch code used to identify which branch sourced the loan.</t>
  </si>
  <si>
    <t>Joins to the bank's branch master to recover the branch geography even without an IFSC.</t>
  </si>
  <si>
    <t>sourcing_branch_city / sourcing_branch_state = the city/state of the branch that sourced the loan.</t>
  </si>
  <si>
    <t>BR_1029</t>
  </si>
  <si>
    <t>servicing_branch_id</t>
  </si>
  <si>
    <t>Loan servicing system (bank)  — bank-internal; needs bank permission</t>
  </si>
  <si>
    <t>From the loan-servicing record.</t>
  </si>
  <si>
    <t>The branch currently servicing the account (may differ from where it was sourced).</t>
  </si>
  <si>
    <t>Hints where the relationship/recovery team sits — useful context, though it reflects bank operations more than the borrower's movement.</t>
  </si>
  <si>
    <t>servicing_branch_state = the state of the branch currently servicing the account.</t>
  </si>
  <si>
    <t>BR_4421</t>
  </si>
  <si>
    <t>Device/app</t>
  </si>
  <si>
    <t>device_id_hash</t>
  </si>
  <si>
    <t>App telemetry / fraud-stack logs (bank)  — bank-internal; needs bank permission</t>
  </si>
  <si>
    <t>Generated by the bank's app/website from device characteristics, then hashed.</t>
  </si>
  <si>
    <t>A scrambled fingerprint of the customer's phone/computer (a code, not the real device). The SAME device produces the SAME hash.</t>
  </si>
  <si>
    <t>It reveals if one device is behind many 'different' applicants — the classic shape of a fraud ring.</t>
  </si>
  <si>
    <t>device_seen_states = the states this device has appeared in.  same_device_many_customers = true if many 'different' people share this one device (ring tell).  device_case_count = how many cases this device touches.</t>
  </si>
  <si>
    <t>DEV_HASH_A1B2</t>
  </si>
  <si>
    <t>app_instance_id</t>
  </si>
  <si>
    <t>Mobile app telemetry (bank)  — bank-internal; needs bank permission</t>
  </si>
  <si>
    <t>Issued by the app when it is installed.</t>
  </si>
  <si>
    <t>An identifier for ONE installation of the bank app on one device.</t>
  </si>
  <si>
    <t>Helps detect the same app install repeating actions across many cases.</t>
  </si>
  <si>
    <t>app_instance_event_count = how many events came from this one app installation.</t>
  </si>
  <si>
    <t>APPINST_203</t>
  </si>
  <si>
    <t>session_id_hash</t>
  </si>
  <si>
    <t>App/web session logs (bank)  — bank-internal; needs bank permission</t>
  </si>
  <si>
    <t>Created per browsing/app session and hashed.</t>
  </si>
  <si>
    <t>A code for one continuous session of use (one sitting).</t>
  </si>
  <si>
    <t>Groups the IP, device, and user-agent seen together in one session so they can be cross-checked.</t>
  </si>
  <si>
    <t>session_signal_count = how many clues were captured in this one session.  session_region_consistency = do the IP/device/etc. in this session all point to the same region? (yes/no).</t>
  </si>
  <si>
    <t>SESS_HASH_02</t>
  </si>
  <si>
    <t>user_agent</t>
  </si>
  <si>
    <t>Browser/app logs (bank)  — bank-internal; needs bank permission</t>
  </si>
  <si>
    <t>Sent automatically by the browser/app with every request; recorded in logs.</t>
  </si>
  <si>
    <t>A short text string the browser/app announces about itself — e.g. 'Mozilla/5.0 ... Android 13 ... Chrome'. It self-describes the device/OS/browser.</t>
  </si>
  <si>
    <t>Lets you read the OS/browser/device type and spot odd automation (bots, emulators). It is NOT a location signal on its own.</t>
  </si>
  <si>
    <t>os_type = Android/iOS/Windows.  browser_family = Chrome/Safari/etc.  device_type = phone/desktop/emulator.</t>
  </si>
  <si>
    <t>Mozilla/5.0 (Linux; Android 13) ...</t>
  </si>
  <si>
    <t>device_timezone</t>
  </si>
  <si>
    <t>Browser/app/device settings (bank)  — bank-internal; needs bank permission</t>
  </si>
  <si>
    <t>Read from the device settings.</t>
  </si>
  <si>
    <t>The timezone the device is set to (e.g. Asia/Kolkata).</t>
  </si>
  <si>
    <t>A weak consistency check — if the IP says one country but the timezone says another, something's off. It can be changed manually, so it's only supporting evidence.</t>
  </si>
  <si>
    <t>timezone_ip_match_flag = does the device's timezone agree with the IP's country/region? (a mismatch is suspicious).</t>
  </si>
  <si>
    <t>Asia/Kolkata</t>
  </si>
  <si>
    <t>device_language_or_locale</t>
  </si>
  <si>
    <t>Read from the device/app settings.</t>
  </si>
  <si>
    <t>The language/locale set on the device (e.g. te-IN = Telugu-India, kn-IN = Kannada-India).</t>
  </si>
  <si>
    <t>A very weak cultural/regional hint — never proof. Kind of supporting evidence only.</t>
  </si>
  <si>
    <t>locale_region_hint = a very weak regional hint from the language (e.g. kn-IN hints Karnataka). Soft support only — never decide on this alone.</t>
  </si>
  <si>
    <t>te-IN / kn-IN / hi-IN</t>
  </si>
  <si>
    <t>Consented GPS</t>
  </si>
  <si>
    <t>gps_lat</t>
  </si>
  <si>
    <t>customer_key / case_id (+ app consent)</t>
  </si>
  <si>
    <t>Bank app location store (consented)  — needs customer consent + permission</t>
  </si>
  <si>
    <t>Read by the bank app from the device GPS, only if the user granted location permission(permissions asked typcially during the login)</t>
  </si>
  <si>
    <t>The latitude (north-south coordinate) of the device at the time of use.</t>
  </si>
  <si>
    <t>With consent and a good accuracy figure, GPS is the single most precise location signal that exists.</t>
  </si>
  <si>
    <t>gps_state / gps_district = the state/district the GPS point falls in.  gps_distance_to_declared_pin = how far the GPS is from the declared address, in km (a big gap is suspicious).</t>
  </si>
  <si>
    <t>12.9716</t>
  </si>
  <si>
    <t>gps_lon</t>
  </si>
  <si>
    <t>Read by the bank app from device GPS, only with permission.</t>
  </si>
  <si>
    <t>The longitude (east-west coordinate); pairs with latitude to make a map point.</t>
  </si>
  <si>
    <t>Together with gps_lat it gives an exact map location — strongest signal when lawfully consented.</t>
  </si>
  <si>
    <t>pairs with gps_lat to make the map point; together they feed gps_state / gps_district.</t>
  </si>
  <si>
    <t>77.5946</t>
  </si>
  <si>
    <t>gps_accuracy_meters</t>
  </si>
  <si>
    <t>Device geolocation API (consented)  — needs customer consent + permission</t>
  </si>
  <si>
    <t>Returned by the device alongside the GPS fix.</t>
  </si>
  <si>
    <t>The uncertainty radius of the GPS reading, in metres (e.g. 30 = accurate to ~30 m; 2000 = very rough). This is an issue was looking into.....</t>
  </si>
  <si>
    <t>A coordinate without its accuracy is dangerous — 30 m means a building, 2000 m means a whole locality. This tells you how much to trust the point.</t>
  </si>
  <si>
    <t>gps_accuracy_bucket = grouped accuracy (&lt;50 m good / 50-500 m ok / &gt;500 m rough).  gps_trust_level = how much to trust this particular fix.</t>
  </si>
  <si>
    <t>30</t>
  </si>
  <si>
    <t>Consented positioning</t>
  </si>
  <si>
    <t>wifi_bssid_hashes</t>
  </si>
  <si>
    <t>device (consent)</t>
  </si>
  <si>
    <t>Device-side Wi-Fi scan (consented)  — needs customer consent + permission</t>
  </si>
  <si>
    <t>Observed by the device when it scans nearby Wi-Fi, then hashed.</t>
  </si>
  <si>
    <t>Hashed identifiers of Wi-Fi access points the device can 'see' around it.</t>
  </si>
  <si>
    <t>Can place a device even when GPS is weak — but only from consented, device-side observations.</t>
  </si>
  <si>
    <t>wifi_position_lat_lon = the position estimated from nearby Wi-Fi.  wifi_accuracy = its uncertainty in metres.</t>
  </si>
  <si>
    <t>(hashed list of BSSIDs)</t>
  </si>
  <si>
    <t>cell_mcc_mnc_lac_cellid</t>
  </si>
  <si>
    <t>Device-side cellular observation (consented)  — needs customer consent + permission</t>
  </si>
  <si>
    <t>Observed by the device from the cell network it's on.</t>
  </si>
  <si>
    <t>The cell-tower/network identifiers the device sees (MCC=country code, e.g. 404=India; MNC=operator; LAC/CellID=the tower area).</t>
  </si>
  <si>
    <t>Supports coarse-to-medium location via a positioning API — but the DEVICE must report it; a phone number alone can never give this.</t>
  </si>
  <si>
    <t>cell_position_lat_lon = the position estimated from the cell tower.  cell_accuracy = its uncertainty in metres.</t>
  </si>
  <si>
    <t>404 / 45 / LAC / CellID</t>
  </si>
  <si>
    <t>Bank behaviour</t>
  </si>
  <si>
    <t>login_event_history</t>
  </si>
  <si>
    <t>Bank app/web login logs  — bank-internal; needs bank permission</t>
  </si>
  <si>
    <t>The bank's own record of every past login.</t>
  </si>
  <si>
    <t>A history of logins with their time, IP, device, and channel.</t>
  </si>
  <si>
    <t>Repeated geography is far stronger than one signal — where someone logs in from again and again is a real location anchor.</t>
  </si>
  <si>
    <t>most_frequent_login_state_90d = the state they log in from most over 90 days.  last_login_state = the state of their latest login.</t>
  </si>
  <si>
    <t>(a table of login events)</t>
  </si>
  <si>
    <t>repayment_event_history</t>
  </si>
  <si>
    <t>Payment / loan systems (bank)  — bank-internal; needs bank permission</t>
  </si>
  <si>
    <t>The bank's record of repayment attempts.</t>
  </si>
  <si>
    <t>A history of repayment attempts and the channels used over time.</t>
  </si>
  <si>
    <t>Behaviour AFTER default (when, how, from where they pay) is often fresher and more useful than the old application data.</t>
  </si>
  <si>
    <t>last_repayment_state = where the latest repayment came from.  repayment_channel_region = the region implied by how/where they pay.</t>
  </si>
  <si>
    <t>(a table of repayment events)</t>
  </si>
  <si>
    <t>contact_center_events</t>
  </si>
  <si>
    <t>CRM / call-centre (bank)  — bank-internal; needs bank permission</t>
  </si>
  <si>
    <t>Logged by the bank's CRM/contact centre.</t>
  </si>
  <si>
    <t>Records of customer support/contact attempts (calls, chats).</t>
  </si>
  <si>
    <t>Can surface updated numbers, regions, and whether the person is reachable — useful for recovery prioritisation.</t>
  </si>
  <si>
    <t>last_contact_success_state = the state where they were last reached.  contactability_flag = are they currently reachable? (yes/no).</t>
  </si>
  <si>
    <t>(call / chat records)</t>
  </si>
  <si>
    <t>dormant_account_reactivation</t>
  </si>
  <si>
    <t>Dormant-account / card system (bank)  — bank-internal; needs bank permission</t>
  </si>
  <si>
    <t>Raised by the bank when a long-inactive card/account suddenly becomes active again.</t>
  </si>
  <si>
    <t>A flag (plus its date and the channel/IP that woke it) showing a sleeping account came back to life.</t>
  </si>
  <si>
    <t>Sleeper accounts waking up is a classic fraud tell, and the reactivation usually carries a fresh IP/device/location — a live, current clue.</t>
  </si>
  <si>
    <t>No external API (bank's own account-status system).</t>
  </si>
  <si>
    <t>reactivation_flag = did a long-dormant account suddenly go active? (yes/no).  reactivation_ip_state = the state of the IP used to wake it.  days_dormant_before = how long it slept before reactivating.</t>
  </si>
  <si>
    <t>reactivated after 14 months</t>
  </si>
  <si>
    <t>Transaction geography</t>
  </si>
  <si>
    <t>atm_transaction_location</t>
  </si>
  <si>
    <t>Core banking / card switch (bank)  — bank-internal; needs bank permission</t>
  </si>
  <si>
    <t>From the bank's transaction systems.</t>
  </si>
  <si>
    <t>The city/state where an ATM cash event happened on the customer's card/account.</t>
  </si>
  <si>
    <t>A physical ATM withdrawal ties the person to a real place at a real time — strong evidence of recent presence.</t>
  </si>
  <si>
    <t>last_atm_state = state of the most recent ATM use.  frequent_atm_state = the state they use ATMs in most.</t>
  </si>
  <si>
    <t>ATM, Mumbai</t>
  </si>
  <si>
    <t>pos_merchant_location</t>
  </si>
  <si>
    <t>Card / POS transaction data (bank)  — bank-internal; needs bank permission</t>
  </si>
  <si>
    <t>From card/POS transaction records.</t>
  </si>
  <si>
    <t>The merchant city/state for card swipes (Point Of Sale = shop card machine).</t>
  </si>
  <si>
    <t>Shows where the person actually spends — though the merchant's registered city can differ from where the swipe physically happened.</t>
  </si>
  <si>
    <t>last_pos_state = state of the latest card swipe.  frequent_pos_city = the city they swipe in most.</t>
  </si>
  <si>
    <t>POS, Bengaluru</t>
  </si>
  <si>
    <t>upi_merchant_or_vpa_metadata</t>
  </si>
  <si>
    <t>UPI / payment rails / bank logs  — bank-internal; needs bank permission</t>
  </si>
  <si>
    <t>From UPI/payment logs.</t>
  </si>
  <si>
    <t>Metadata about UPI payees/merchants/VPAs (a VPA is a UPI handle like name@bank) and channels.</t>
  </si>
  <si>
    <t>Can give merchant or payer geography clues and show where money is moving now — but a UPI handle's suffix alone usually reveals little location.</t>
  </si>
  <si>
    <t>upi_merchant_region_hint = any region hint from the merchant/payee details (usually weak).</t>
  </si>
  <si>
    <t>(merchant / payee metadata)</t>
  </si>
  <si>
    <t>cash_deposit_branch</t>
  </si>
  <si>
    <t>Branch / core banking (bank)  — bank-internal; needs bank permission</t>
  </si>
  <si>
    <t>From branch transaction records.</t>
  </si>
  <si>
    <t>The branch where cash/cheque was deposited or a repayment was made in person.</t>
  </si>
  <si>
    <t>A physical branch touchpoint is a clean operational clue — though it could be a third party paying on the customer's behalf.</t>
  </si>
  <si>
    <t>cash_deposit_state = the state of the branch where cash/cheque was deposited.</t>
  </si>
  <si>
    <t>Collections</t>
  </si>
  <si>
    <t>field_visit_pincode</t>
  </si>
  <si>
    <t>Collections / field-ops system (bank)  — bank-internal; needs bank permission</t>
  </si>
  <si>
    <t>Recorded by a recovery agent who visited an address.</t>
  </si>
  <si>
    <t>The PIN where a field agent attempted a visit.</t>
  </si>
  <si>
    <t>A human physically going to a location is among the most valuable signals for recovery — especially paired with the outcome.</t>
  </si>
  <si>
    <t>last_visit_pin = the PIN of the most recent field visit.  visit_region = its broad region.</t>
  </si>
  <si>
    <t>515001</t>
  </si>
  <si>
    <t>field_visit_outcome_code</t>
  </si>
  <si>
    <t>Collections / field-ops (bank)  — bank-internal; needs bank permission</t>
  </si>
  <si>
    <t>Logged by the agent after the visit.</t>
  </si>
  <si>
    <t>The standardised result of the visit: met / shifted / door_locked / wrong_address / neighbour_confirmed, etc.</t>
  </si>
  <si>
    <t>It tells you whether a location is CONFIRMED or REJECTED — the outcome matters more than the visit location alone.</t>
  </si>
  <si>
    <t>presence_confirmed_flag = did the visit confirm the person is there? (yes/no).  address_failed_flag = did it confirm the address is wrong / they moved? (yes/no).</t>
  </si>
  <si>
    <t>MET / SHIFTED / DOOR_LOCKED</t>
  </si>
  <si>
    <t>returned_mail_pincode</t>
  </si>
  <si>
    <t>Courier / notice dispatch system (bank)  — bank-internal; needs bank permission</t>
  </si>
  <si>
    <t>From the notice/letter dispatch and return records.</t>
  </si>
  <si>
    <t>The PIN a posted notice was sent to (and returned from, if undelivered).</t>
  </si>
  <si>
    <t>Shows whether a declared/served address physically worked or failed — a practical validity check.</t>
  </si>
  <si>
    <t>mail_return_region = region a returned notice came back from.  notice_delivery_flag = was the notice delivered or returned?</t>
  </si>
  <si>
    <t>courier_delivery_status</t>
  </si>
  <si>
    <t>Courier / notice vendor (bank/partner)  — bank-internal; needs bank permission</t>
  </si>
  <si>
    <t>From the courier's tracking feed.</t>
  </si>
  <si>
    <t>The delivery result: delivered / undelivered / refused / shifted, etc.</t>
  </si>
  <si>
    <t>A practical signal of whether the address is real and reachable; vendor data quality varies.</t>
  </si>
  <si>
    <t>delivery_success_flag = delivered? (yes/no).  delivery_failure_reason = why it failed (moved / refused / wrong address).</t>
  </si>
  <si>
    <t>undelivered</t>
  </si>
  <si>
    <t>Regulated history</t>
  </si>
  <si>
    <t>bureau_address_history</t>
  </si>
  <si>
    <t>Credit-bureau report (personal-info section)  — external regulated access; lender pull with consent/permission</t>
  </si>
  <si>
    <t>Returned by a credit bureau when the lender pulls the report on its own applicant.</t>
  </si>
  <si>
    <t>The list of CURRENT and PREVIOUS addresses (plus phones/employment) the bureaus hold for that PAN.</t>
  </si>
  <si>
    <t>One of the strongest historical-address sources there is — previous addresses are often exactly where an absconder resurfaces.</t>
  </si>
  <si>
    <t>bureau_last_state = the most recent address state on the bureau file.  bureau_state_count = how many distinct address states they've had.  address_stability_score = 0-1 settledness score.</t>
  </si>
  <si>
    <t>(address history list)</t>
  </si>
  <si>
    <t>ckyc_id_or_search_key</t>
  </si>
  <si>
    <t>aadhaar_number / pan / customer_key</t>
  </si>
  <si>
    <t>CKYC Registry (CERSAI)  — external regulated access; lender pull with consent/permission</t>
  </si>
  <si>
    <t>The key used to retrieve a record from the central KYC registry.</t>
  </si>
  <si>
    <t>An identifier that fetches a person's CKYC record (the once-collected, reusable KYC held centrally by CERSAI).</t>
  </si>
  <si>
    <t>Gives an independent, official KYC address history to cross-check the declared address.</t>
  </si>
  <si>
    <t>ckyc_state = the state on the central-KYC address.  ckyc_last_updated_days = how old that KYC record is, in days.</t>
  </si>
  <si>
    <t>(CKYC ID)</t>
  </si>
  <si>
    <t>account_aggregator_consent_token</t>
  </si>
  <si>
    <t>mobile_number / customer_key</t>
  </si>
  <si>
    <t>Account Aggregator (AA/FIU flow)  — needs customer consent + permission</t>
  </si>
  <si>
    <t>Created when the customer approves a consent request in the AA system.</t>
  </si>
  <si>
    <t>A digital 'yes' that lets the lender securely fetch the customer's bank-statement data through the RBI Account-Aggregator framework.</t>
  </si>
  <si>
    <t>It is the clean, consented key to financial behaviour — where money moves now, salary employer, etc.</t>
  </si>
  <si>
    <t>aa_transaction_geo_hints_available_flag = whether the consented statements actually contain any usable location hints (yes/no).</t>
  </si>
  <si>
    <t>(consent token)</t>
  </si>
  <si>
    <t>aa_transaction_narrations</t>
  </si>
  <si>
    <t>Account Aggregator bank-statement data  — needs customer consent + permission</t>
  </si>
  <si>
    <t>Parsed from the bank-statement transactions returned via AA.</t>
  </si>
  <si>
    <t>The free-text descriptions on each transaction (e.g. salary-credit text, merchant names).</t>
  </si>
  <si>
    <t>These sometimes contain employer/merchant/city clues — a fresh, consented location hint, though the text is messy.</t>
  </si>
  <si>
    <t>employer_hint = an employer name guessed from salary-credit text.  merchant_city_hint = a city guessed from merchant text.</t>
  </si>
  <si>
    <t>(salary / merchant text)</t>
  </si>
  <si>
    <t>Social / public web (catalogue only)</t>
  </si>
  <si>
    <t>consented_social_profile_location</t>
  </si>
  <si>
    <t>email_id / mobile_number (consent)</t>
  </si>
  <si>
    <t>Platform API (consented)  — needs customer consent + permission</t>
  </si>
  <si>
    <t>Shared only if the customer logs in / consents via the platform.</t>
  </si>
  <si>
    <t>The city/employer the person has self-declared on a profile, retrieved with their consent.</t>
  </si>
  <si>
    <t>A weak supporting hint at best — and only when truly consented; never a core source.</t>
  </si>
  <si>
    <t>social_declared_city = the city the person lists on their own profile (only if they consented).</t>
  </si>
  <si>
    <t>Mumbai</t>
  </si>
  <si>
    <t>public_social_profile_url</t>
  </si>
  <si>
    <t>email_id / mobile_number / name</t>
  </si>
  <si>
    <t>Public web / social</t>
  </si>
  <si>
    <t>A public profile page link.</t>
  </si>
  <si>
    <t>A public profile that might show a self-declared city or employer.</t>
  </si>
  <si>
    <t xml:space="preserve">Only a weak lead and high-risk for private individuals — </t>
  </si>
  <si>
    <t>public_profile_city_hint = a city guessed from a public profile (weak — catalogue only).</t>
  </si>
  <si>
    <t>(profile URL)</t>
  </si>
  <si>
    <t>geotagged_public_posts</t>
  </si>
  <si>
    <t>name / handle</t>
  </si>
  <si>
    <t>Social platforms</t>
  </si>
  <si>
    <t>Posts that carry a location tag.</t>
  </si>
  <si>
    <t>Public posts with attached coordinates/place tags.</t>
  </si>
  <si>
    <t>Could reveal movement but crosses into surveillance of a private person??</t>
  </si>
  <si>
    <t>(not used — catalogue only).</t>
  </si>
  <si>
    <t>(excluded)</t>
  </si>
  <si>
    <t>Catalogue only (not used in build)</t>
  </si>
  <si>
    <t>leaked_or_breached_data</t>
  </si>
  <si>
    <t>—</t>
  </si>
  <si>
    <t>Not actually much viable to source</t>
  </si>
  <si>
    <t>Circulates online after data breaches.</t>
  </si>
  <si>
    <t>Stolen personal-data dumps of unknown accuracy.</t>
  </si>
  <si>
    <t>Acquire, process, validate, or prototype with breached data? (Different from the bank's own dormant-account flags, which are legitimate internal data.)</t>
  </si>
  <si>
    <t>API UNIVERSE — outside sources that enrich a key into values (India)</t>
  </si>
  <si>
    <t>HOW TO READ THIS SHEET — these are the OUTSIDE sources (public, paid, or consent-based) that turn a key into values. Bank-OWNED data now lives in the 'Fetched Data Fields' sheet, not here.  Columns:  Source = the service.  Input needed = the key/value you give it.  What it returns = what you get back.  Why it matters = what it does for locating the customer.  Access = how you get in (free / paid / consent / regulated / catalogue-only).  Remarks = beginner notes + the main catch.  Example = where to go or what a call looks like.</t>
  </si>
  <si>
    <t>#</t>
  </si>
  <si>
    <t>Source / API / system</t>
  </si>
  <si>
    <t>Input needed (the key)</t>
  </si>
  <si>
    <t>What it returns</t>
  </si>
  <si>
    <t>Why it matters for location</t>
  </si>
  <si>
    <t>Access</t>
  </si>
  <si>
    <t>Remarks</t>
  </si>
  <si>
    <t>Example / access link</t>
  </si>
  <si>
    <t>Data.gov.in — All India Pincode Directory</t>
  </si>
  <si>
    <t>pincode or full dataset download; free API key for API use</t>
  </si>
  <si>
    <t>Circle, region, division, office name, PIN code, office type, delivery status, district, state.</t>
  </si>
  <si>
    <t>Turns a PIN into district/state/region. This is the cleanest public baseline for Indian geography</t>
  </si>
  <si>
    <t>Publicly available (free, API key)</t>
  </si>
  <si>
    <t>India's official government PIN-code master list. The most trustworthy way to check a PIN is real and to map it to district/state. We can download the whole file once and keep it local for instant offline lookups.</t>
  </si>
  <si>
    <t>Postalpincode.in API</t>
  </si>
  <si>
    <t>6-digit pincode or post office name</t>
  </si>
  <si>
    <t>Post offices for that PIN, district, state, circle, region, delivery status.</t>
  </si>
  <si>
    <t>Fast no-key prototype lookup for PIN&gt;&gt;&gt;&gt;district/state. Good for learning and spot checks.</t>
  </si>
  <si>
    <t>Publicly available (free)</t>
  </si>
  <si>
    <t>A quick, no-signup way to turn a PIN into district/state/post-office. It mirrors India Post data, so for anything serious cross-check against the official Data.gov.in file.</t>
  </si>
  <si>
    <t>India Post PIN search / DIGIPIN references</t>
  </si>
  <si>
    <t>PIN, post office, or future DIGIPIN if available in bank records</t>
  </si>
  <si>
    <t>Manual PIN/post-office lookup; future precise grid-style digital addressing where available.</t>
  </si>
  <si>
    <t>Official manual fallback when APIs disagree or fail. DIGIPIN could become useful later if banks capture it.</t>
  </si>
  <si>
    <t>Official India Post PIN search. DIGIPIN is India Post's newer grid-based 'digital PIN' that can pinpoint a small area — worth watching, used only where available.</t>
  </si>
  <si>
    <t>OpenStreetMap Nominatim</t>
  </si>
  <si>
    <t>place text, city/state, PIN, or coordinates</t>
  </si>
  <si>
    <t>Latitude/longitude and structured place data from OpenStreetMap.</t>
  </si>
  <si>
    <t>Converts a place/PIN/city into map coordinates for later distance/region work.</t>
  </si>
  <si>
    <t>Publicly available (free, fair-use)</t>
  </si>
  <si>
    <t>Free address-&gt;coordinates (and back). Great for demos, but the public server allows only ~1 request/second, needs a real app name in the request, and you must cache results. For volume, self-host or use a paid geocoder.</t>
  </si>
  <si>
    <t>Geoapify Geocoding API</t>
  </si>
  <si>
    <t>place text, address, PIN, API key</t>
  </si>
  <si>
    <t>Lat/lon, formatted address, state/city/postcode, confidence/rank fields.</t>
  </si>
  <si>
    <t>More practical than public Nominatim for repeated prototype geocoding.</t>
  </si>
  <si>
    <t>Publicly available (free tier + paid)</t>
  </si>
  <si>
    <t>A friendlier geocoder with a generous free tier and clean structured output. Good middle option between the free public Nominatim and paid Google.</t>
  </si>
  <si>
    <t>OpenCage Geocoding API</t>
  </si>
  <si>
    <t>place text/address, API key</t>
  </si>
  <si>
    <t>Lat/lon, formatted address, components, confidence annotations.</t>
  </si>
  <si>
    <t>Good testing geocoder; useful if Nominatim is too limited.</t>
  </si>
  <si>
    <t>Publicly available (free trial + paid)</t>
  </si>
  <si>
    <t>Geocoder built on open data with worldwide coverage. Free tier is really a trial for testing; ongoing use needs a paid plan.</t>
  </si>
  <si>
    <t>Google Maps Geocoding API</t>
  </si>
  <si>
    <t>address/place/PIN, API key</t>
  </si>
  <si>
    <t>High-quality geocoding, place coordinates, formatted address components.</t>
  </si>
  <si>
    <t>Enterprise-grade geocoding candidate if a bank accepts cost and Google terms.</t>
  </si>
  <si>
    <t>Paid</t>
  </si>
  <si>
    <t>The highest-quality geocoder with excellent India coverage, but it costs money at scale and has usage terms. Use when accuracy really matters; avoid for bulk if budget is tight.</t>
  </si>
  <si>
    <t>Overpass API</t>
  </si>
  <si>
    <t>area, bounding box, OSM tags such as amenity=bank, highway, railway, bus_station</t>
  </si>
  <si>
    <t>Roads, towns, banks, ATMs, transport nodes, POI counts from OpenStreetMap.</t>
  </si>
  <si>
    <t>Builds area context: urban density, transport access, banking/ATM density. This is region context, not person lookup.</t>
  </si>
  <si>
    <t>Lets you COUNT map features in an area (banks, ATMs, roads, transport). Gives 'how urban/connected is this area' context — never a person's location. Rate-limited; be gentle.</t>
  </si>
  <si>
    <t>Geofabrik India OSM extract</t>
  </si>
  <si>
    <t>downloaded India OSM extract</t>
  </si>
  <si>
    <t>Bulk offline OSM roads/places/POIs without hitting public APIs.</t>
  </si>
  <si>
    <t>Best option for serious offline area-context processing once geospatial skills improve.</t>
  </si>
  <si>
    <t>Publicly available (free download)</t>
  </si>
  <si>
    <t>A downloadable copy of all OpenStreetMap data for India. Use it offline so you never hit public rate limits — good once you move past tiny demos.</t>
  </si>
  <si>
    <t>DataMeet India maps</t>
  </si>
  <si>
    <t>state/district boundary files</t>
  </si>
  <si>
    <t>Community-maintained India administrative boundary shapefiles/GeoJSON.</t>
  </si>
  <si>
    <t>Helps map district/state data and join geospatial data locally.</t>
  </si>
  <si>
    <t>Community-maintained India state/district boundary files. Needed to draw maps and to join your data to the right district. Check the licence before any commercial use.</t>
  </si>
  <si>
    <t>Census of India</t>
  </si>
  <si>
    <t>state/district/subdistrict tables</t>
  </si>
  <si>
    <t>Population, urban/rural, demographic district-level context.</t>
  </si>
  <si>
    <t>Creates regional priors: population weight, urbanity, density. Helps avoid naive “all regions equal” thinking later.</t>
  </si>
  <si>
    <t>District-level population and urban/rural figures. Use it to weight areas (busier districts are more likely) so the model doesn't treat every place as equally probable. The latest full census is 2011 — dated but still a useful baseline.</t>
  </si>
  <si>
    <t>Bhuvan / NRSC / ISRO geoportal</t>
  </si>
  <si>
    <t>selected layers/downloads; sometimes registration</t>
  </si>
  <si>
    <t>Indian map layers, imagery, boundaries, thematic geospatial datasets.</t>
  </si>
  <si>
    <t>India-specific geospatial reference source for boundaries and area context.</t>
  </si>
  <si>
    <t>Publicly available (free, registration)</t>
  </si>
  <si>
    <t>India's own government map/satellite portal with official boundaries and layers. Can be slow, and some downloads need a free login.</t>
  </si>
  <si>
    <t>GADM India boundaries</t>
  </si>
  <si>
    <t>country=India boundary download</t>
  </si>
  <si>
    <t>Administrative boundaries at multiple levels.</t>
  </si>
  <si>
    <t>Quick boundary source for personal GIS experiments.</t>
  </si>
  <si>
    <t>Publicly available (free, licence)</t>
  </si>
  <si>
    <t>Ready-made administrative boundary shapes for India at several levels (state/district/sub-district). Free, but its licence restricts commercial redistribution — read it first.</t>
  </si>
  <si>
    <t>ip-api.com JSON endpoint</t>
  </si>
  <si>
    <t>Country, region/state, city, lat/lon, timezone, ISP, organization, ASN, mobile/proxy/hosting flags.</t>
  </si>
  <si>
    <t>Fast no-key way to turn IP into approximate region and trust flags for demos.</t>
  </si>
  <si>
    <t>Publicly available (free, non-commercial)</t>
  </si>
  <si>
    <t>The easiest no-key way to turn an IP into an approximate city + VPN/proxy/mobile flags. Free tier is HTTP-only, ~45 requests/minute, and non-commercial — fine for learning/prototyping, not production.</t>
  </si>
  <si>
    <t>MaxMind GeoLite2 City</t>
  </si>
  <si>
    <t>public_ip looked up in local .mmdb file</t>
  </si>
  <si>
    <t>Country, subdivision/state, city, postal, lat/lon, accuracy_radius.</t>
  </si>
  <si>
    <t>Best local/offline IP location option after download. Accuracy radius makes uncertainty visible.</t>
  </si>
  <si>
    <t>Publicly available (free account)</t>
  </si>
  <si>
    <t>A downloadable IP-&gt;city database you query offline (no per-call limit). It also gives an 'accuracy radius' so you know how fuzzy each IP guess is. Its licence forbids using it to identify a specific household/individual.</t>
  </si>
  <si>
    <t>IPinfo Lite</t>
  </si>
  <si>
    <t>public_ip + free token</t>
  </si>
  <si>
    <t>Country, continent, ASN, AS name, AS domain.</t>
  </si>
  <si>
    <t>Useful for network owner/ASN features and country-level sanity check.</t>
  </si>
  <si>
    <t>Publicly available (free token)</t>
  </si>
  <si>
    <t>Free IP lookup, but the Lite tier only returns country + the network owner (no Indian city/state). Good for a quick country/VPN sanity check; city-level needs the paid tier.</t>
  </si>
  <si>
    <t>IPinfo paid APIs</t>
  </si>
  <si>
    <t>public_ip + paid token</t>
  </si>
  <si>
    <t>Detailed geolocation, privacy/VPN, carrier/mobile, company/ASN fields depending plan.</t>
  </si>
  <si>
    <t>Stronger IP intelligence if bank needs vendor-grade enrichments.</t>
  </si>
  <si>
    <t>Publicly available (paid)</t>
  </si>
  <si>
    <t>The paid IPinfo tiers add city/region plus explicit VPN/proxy/Tor flags and carrier/company data — a sharper second opinion when IP trust matters.</t>
  </si>
  <si>
    <t>DB-IP Lite</t>
  </si>
  <si>
    <t>public_ip or local IP range join</t>
  </si>
  <si>
    <t>IP range to country/region/city/lat/lon depending edition.</t>
  </si>
  <si>
    <t>Alternative local IP geolocation DB if MaxMind is not used.</t>
  </si>
  <si>
    <t>A free downloadable IP-to-location database, similar idea to MaxMind GeoLite2. Handy as a cross-check or backup. Fields depend on the edition you download.</t>
  </si>
  <si>
    <t>IP2Location LITE</t>
  </si>
  <si>
    <t>IP range to country/region/city/lat/lon depending selected DB package.</t>
  </si>
  <si>
    <t>Alternative downloadable IP geolocation database.</t>
  </si>
  <si>
    <t>Another free offline IP-to-location database. Useful to compare against MaxMind/DB-IP — if two databases disagree a lot, trust the IP less.</t>
  </si>
  <si>
    <t>IP2Proxy LITE</t>
  </si>
  <si>
    <t>Proxy/VPN/datacenter type flags depending edition.</t>
  </si>
  <si>
    <t>Does not give location; tells whether IP location should be trusted less.</t>
  </si>
  <si>
    <t>A companion database that flags whether an IP is a known proxy/VPN/datacentre. Use it to DOWN-WEIGHT an IP's location, not to locate anyone.</t>
  </si>
  <si>
    <t>AbuseIPDB</t>
  </si>
  <si>
    <t>public_ip + API key</t>
  </si>
  <si>
    <t>Abuse confidence score, report categories, report history.</t>
  </si>
  <si>
    <t>Flags dirty infrastructure that can weaken IP trust.</t>
  </si>
  <si>
    <t>A community database of IP 'abuse' reports. Tells you if an IP is widely flagged as malicious — a trust signal about the connection, not a location.</t>
  </si>
  <si>
    <t>Python phonenumbers library</t>
  </si>
  <si>
    <t>Parse/validate/format number, country code, possible number type; sometimes carrier metadata via libphonenumber metadata.</t>
  </si>
  <si>
    <t>Cleans phone numbers before any telecom-circle or vendor lookup.</t>
  </si>
  <si>
    <t>Publicly available (free library)</t>
  </si>
  <si>
    <t>Google's offline number library. It validates an Indian number, says its type, and (via its carrier add-on) hints the original operator. It gives NO live location — only structure.</t>
  </si>
  <si>
    <t>DoT / MSC / telecom number-series references</t>
  </si>
  <si>
    <t>mobile prefix / first 4–5 digits</t>
  </si>
  <si>
    <t>Original operator/service area/circle where number series was allocated, if table is available.</t>
  </si>
  <si>
    <t>Weak historical region hint from number series. Useful only as tie-breaker.</t>
  </si>
  <si>
    <t>Publicly available (free / manual)</t>
  </si>
  <si>
    <t>Public references for which operator/circle a number-series was originally issued in. Treat as a weak region hint only — number portability and relocation make it stale.</t>
  </si>
  <si>
    <t>Mobile intelligence APIs: DataYuge / Twilio Lookup / Abstract / Numverify</t>
  </si>
  <si>
    <t>mobile_number + API key</t>
  </si>
  <si>
    <t>Validation, carrier, line type, risk/identity signals, maybe coarse location depending vendor/plan.</t>
  </si>
  <si>
    <t>Possible phone metadata enrichment if bank approves a vendor.</t>
  </si>
  <si>
    <t>Paid (some free tiers)</t>
  </si>
  <si>
    <t>Vendor APIs that validate a number and return operator/circle, line type, and risk/identity signals. DataYuge is India-focused (operator+circle+MNP); Twilio/Abstract/Numverify are global. None give live physical location.</t>
  </si>
  <si>
    <t>Razorpay IFSC API</t>
  </si>
  <si>
    <t>Bank, branch, address, city, district, state, MICR if available.</t>
  </si>
  <si>
    <t>Turns IFSC into branch geography. Useful if loan source/disbursement branch is known.</t>
  </si>
  <si>
    <t>Free, no-key lookup that turns a branch's IFSC code into the bank, branch, city, district and state. Community data (not RBI-official), so cross-check for production; returns 404 if the IFSC is wrong.</t>
  </si>
  <si>
    <t>RBI IFSC/MICR search</t>
  </si>
  <si>
    <t>IFSC/MICR/bank/branch details</t>
  </si>
  <si>
    <t>Official branch/IFSC/MICR lookup output.</t>
  </si>
  <si>
    <t>Official reference for branch geography validation.</t>
  </si>
  <si>
    <t>The official RBI page to confirm a branch's IFSC/MICR. Authoritative but manual (no clean bulk API) — use it to verify, not to fetch in volume.</t>
  </si>
  <si>
    <t>Browser Geolocation API</t>
  </si>
  <si>
    <t>user permission in browser/app; secure HTTPS context</t>
  </si>
  <si>
    <t>Latitude/longitude/accuracy from device/browser where user allows it.</t>
  </si>
  <si>
    <t>Potential consented signal during digital journeys.</t>
  </si>
  <si>
    <t>Consent-based (free, browser/app)</t>
  </si>
  <si>
    <t>Built into browsers/apps: if the user taps 'Allow', it returns their device's lat/long + accuracy. It is consent-based and device-side — not something you can call from a phone number.</t>
  </si>
  <si>
    <t>Google Geolocation API using Wi-Fi/cell data</t>
  </si>
  <si>
    <t>device-side Wi-Fi access points/cell tower observations + API key</t>
  </si>
  <si>
    <t>Estimated lat/lon and accuracy radius from cell/Wi-Fi signals.</t>
  </si>
  <si>
    <t>Can locate a device when GPS is weak, but only from consented device-side observations.</t>
  </si>
  <si>
    <t>Paid (consent / device-side)</t>
  </si>
  <si>
    <t>Turns nearby Wi-Fi/cell-tower observations THE DEVICE reports into a position. It needs the device to send those observations — a number alone can never trigger it. Paid.</t>
  </si>
  <si>
    <t>Device intelligence vendors: SEON / Signzy / FingerprintJS</t>
  </si>
  <si>
    <t>Vendors that score device/email/phone risk and build a stable device ID across sessions. SEON and FingerprintJS are global; Signzy is India-based. Strengthens the 'same device behind many applicants' (fraud-ring) detection.</t>
  </si>
  <si>
    <t>Credit bureaus: CIBIL / Experian / Equifax / CRIF</t>
  </si>
  <si>
    <t>PAN/customer identifiers + consent/permissible purpose/member access</t>
  </si>
  <si>
    <t>Credit report personal section, historical addresses/phones/employment, enquiry history depending bureau/product.</t>
  </si>
  <si>
    <t>One of the richest regulated historical-address sources for lenders.</t>
  </si>
  <si>
    <t>Regulated access (lender + consent)</t>
  </si>
  <si>
    <t>India's four RBI-licensed credit bureaus. A lender pulls a report on its OWN applicant using PAN. The report's personal section carries CURRENT and PREVIOUS addresses + phones — one of the richest location sources there is.</t>
  </si>
  <si>
    <t>Bureau B2B/member systems</t>
  </si>
  <si>
    <t>CKYC Registry / CERSAI</t>
  </si>
  <si>
    <t>CKYC ID or permitted identity search via institution</t>
  </si>
  <si>
    <t>KYC address and KYC update information available through governed access.</t>
  </si>
  <si>
    <t>Independent KYC-address history/reference under regulated institutional access.</t>
  </si>
  <si>
    <t>Regulated access</t>
  </si>
  <si>
    <t>The central government KYC registry (run by CERSAI) where KYC, including address, is stored once and reused. Gives an independent, official address to cross-check the declared one. Access is governed.</t>
  </si>
  <si>
    <t>Account Aggregator ecosystem</t>
  </si>
  <si>
    <t>customer consent token via licensed AA/FIU workflow</t>
  </si>
  <si>
    <t>Bank statement data, transaction narrations, salary credits, balances depending consent artefact.</t>
  </si>
  <si>
    <t>Can reveal fresh financial behaviour and sometimes merchant/employer geography from transaction text.</t>
  </si>
  <si>
    <t>Consent-based (regulated)</t>
  </si>
  <si>
    <t>An RBI-regulated 'consent pipe' (via licensed AAs like Finvu, OneMoney, Anumati) that lets a customer share bank-statement data. Transactions reveal where money moves NOW and the salary employer — a fresh, clean, consented location signal.</t>
  </si>
  <si>
    <t>eCourts / legal case records</t>
  </si>
  <si>
    <t>case number or lawful case-linked search</t>
  </si>
  <si>
    <t>Case metadata and party details where publicly shown.</t>
  </si>
  <si>
    <t>Can support recovery/legal context if case-linked, not a general locator.</t>
  </si>
  <si>
    <t>India's public court-records portal. Occasionally surfaces a known address from a person's litigation history. Public, but coarse and to be used carefully and respectfully.</t>
  </si>
  <si>
    <t>Delivery / e-commerce PIN patterns</t>
  </si>
  <si>
    <t>customer consent or partnership identifiers</t>
  </si>
  <si>
    <t>Delivery PINs/addresses, successful delivery areas, return locations depending partner data.</t>
  </si>
  <si>
    <t>Where parcels are actually received can be a strong residence/operations hint.</t>
  </si>
  <si>
    <t>Consent-based / partnership</t>
  </si>
  <si>
    <t>Where a person actually receives parcels — a strong 'where they live/operate' signal. Not public; available only through a platform partnership or the customer's consent.</t>
  </si>
  <si>
    <t>Platform partnership/API</t>
  </si>
  <si>
    <t>People-data enrichment: PeopleDataLabs / Pipl / Clearbit / FullContact</t>
  </si>
  <si>
    <t>email, phone, name, domain, or profile URL</t>
  </si>
  <si>
    <t>Merged public/commercial profile data: location, employer, social handles depending vendor.</t>
  </si>
  <si>
    <t>Possibility-map only; can add employer/city hints but quality/provenance varies.</t>
  </si>
  <si>
    <t>Vendors that take an email/phone/name and return a merged profile (location, employer, social links). Coverage and accuracy vary, so treat results as a lead, not proof. (Clearbit is now part of HubSpot.)</t>
  </si>
  <si>
    <t>Vendor API docs</t>
  </si>
  <si>
    <t>Caller-ID / name databases: Truecaller-style</t>
  </si>
  <si>
    <t>mobile_number via vendor/API where available</t>
  </si>
  <si>
    <t>Crowd-sourced name tags, spam flags, sometimes coarse location text.</t>
  </si>
  <si>
    <t>Possible supporting identity/contact hint, not truth.</t>
  </si>
  <si>
    <t>Paid / ToS</t>
  </si>
  <si>
    <t>Crowd-sourced services (Truecaller is huge in India) that map a number to a name + spam flag and sometimes a coarse city. A supporting identity/location hint, not proof; bound by their terms.</t>
  </si>
  <si>
    <t>Vendor API/partner route</t>
  </si>
  <si>
    <t>Hunter.io / HIBP / Holehe-style email footprint tools</t>
  </si>
  <si>
    <t>email_id / username</t>
  </si>
  <si>
    <t>Domain/account footprint or breach exposure depending tool.</t>
  </si>
  <si>
    <t>Mostly identity/footprint, not location. Included only to avoid forgetting the category.</t>
  </si>
  <si>
    <t>Publicly available (free / freemium)</t>
  </si>
  <si>
    <t>Tools that show where an email is registered online and whether it appeared in breaches. This is about identity/footprint, NOT location — linked accounts only occasionally hint at a city.</t>
  </si>
  <si>
    <t>Aggregate public social activity by area</t>
  </si>
  <si>
    <t>city/district/hashtag/place query; platform API where allowed</t>
  </si>
  <si>
    <t>Area-level post counts or geotagged activity density, not person-level records.</t>
  </si>
  <si>
    <t>Regional context only: helps understand active areas, not where a customer is.</t>
  </si>
  <si>
    <t>Catalogue only</t>
  </si>
  <si>
    <t>Area-level public post/check-in density (never a named person). Listed for completeness; not a practical signal for this build.</t>
  </si>
  <si>
    <t>Consented social login profile</t>
  </si>
  <si>
    <t>user-authenticated login and granted profile scope</t>
  </si>
  <si>
    <t>Self-declared profile location/employer if platform allows and user consents.</t>
  </si>
  <si>
    <t>Optional low-priority corroboration when customer explicitly provides it.</t>
  </si>
  <si>
    <t>Consent-based</t>
  </si>
  <si>
    <t>If a user logs in and grants access, a platform can share their self-declared city/employer. Weak and only with genuine consent; kept as a possibility.</t>
  </si>
  <si>
    <t>Public profile self-declared location text</t>
  </si>
  <si>
    <t>profile URL or public handle</t>
  </si>
  <si>
    <t>Bio/profile city text such as “Bengaluru” or employer/location.</t>
  </si>
  <si>
    <t>Only a weak lead; may corroborate business/professional info if lawfully used.</t>
  </si>
  <si>
    <t>A city someone writes on a public profile. Weak and risky for a private individual; listed only so the catalogue is complete.</t>
  </si>
  <si>
    <t>Platform-specific profile pages</t>
  </si>
  <si>
    <t>Leaked / breached data dumps</t>
  </si>
  <si>
    <t>stolen personal data</t>
  </si>
  <si>
    <t>Unknown stolen records.</t>
  </si>
  <si>
    <t>No legitimate use. Listed only so I remember to reject it.</t>
  </si>
  <si>
    <t>Stolen records of unknown accuracy that circulate online. Catalogued so it's on the map; not a real, stable, or safe source — and very different from the bank's own dormant-account flags.</t>
  </si>
  <si>
    <t>No link</t>
  </si>
  <si>
    <t>Live phone tracking / CDR / tower location from mobile number</t>
  </si>
  <si>
    <t>Would imply live/current network location if obtained by authorized agencies only.</t>
  </si>
  <si>
    <t>Not part of this project.</t>
  </si>
  <si>
    <t>There is no public way to get a phone's live tower/network location from just the number; any site claiming this is false/unsafe. CDRs are held by telcos and released only by legal process. Catalogued for awareness.</t>
  </si>
  <si>
    <t>No public source</t>
  </si>
  <si>
    <t>Voter-roll covert tracing</t>
  </si>
  <si>
    <t>name / EPIC / electoral search fields</t>
  </si>
  <si>
    <t>Potential electoral registration details.</t>
  </si>
  <si>
    <t>Not suitable for bank location-probability work.</t>
  </si>
  <si>
    <t>Electoral rolls exist publicly, but repurposing them to trace a person is not a sound source for this work. Catalogued only.</t>
  </si>
  <si>
    <t>Fake accounts / social scraping / friend graph tracking</t>
  </si>
  <si>
    <t>name, phone, email, social handles</t>
  </si>
  <si>
    <t>Private/profile/network data collected through deception or scraping.</t>
  </si>
  <si>
    <t>Not legitimate.</t>
  </si>
  <si>
    <t>Collecting someone's profile/network through fake accounts or scraping. Listed for completeness; not part of the build.</t>
  </si>
  <si>
    <t>Data broker dumps / shady people-search OSINT</t>
  </si>
  <si>
    <t>phone, email, name</t>
  </si>
  <si>
    <t>Opaque personal profiles, addresses, relatives, social handles.</t>
  </si>
  <si>
    <t>Not bank-safe.</t>
  </si>
  <si>
    <t>Opaque people-search dumps of unknown provenance. Catalogued for awareness; not a reliable source.</t>
  </si>
  <si>
    <t>Face recognition from public photos</t>
  </si>
  <si>
    <t>photo / social profile images</t>
  </si>
  <si>
    <t>Identity/location inference from images.</t>
  </si>
  <si>
    <t>Not part of project.</t>
  </si>
  <si>
    <t>Inferring identity/location from photos. Listed for completeness; out of scope for this build.</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</si>
</sst>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0.0"/>
      <color rgb="FFFFFFFF"/>
      <name val="Calibri"/>
    </font>
    <font>
      <b/>
      <sz val="10.0"/>
      <color rgb="FF0B2545"/>
      <name val="Calibri"/>
    </font>
    <font>
      <sz val="10.0"/>
      <color rgb="FF1A1A1A"/>
      <name val="Calibri"/>
    </font>
    <font>
      <i/>
      <sz val="10.0"/>
      <color rgb="FF1A1A1A"/>
      <name val="Calibri"/>
    </font>
    <font>
      <i/>
      <sz val="10.0"/>
      <color rgb="FF0B2545"/>
      <name val="Calibri"/>
    </font>
    <font>
      <sz val="11.0"/>
      <color theme="1"/>
      <name val="Calibri"/>
    </font>
    <font>
      <b/>
      <sz val="11.0"/>
      <color rgb="FFFFFFFF"/>
      <name val="Calibri"/>
    </font>
    <font/>
    <font>
      <sz val="11.0"/>
      <color rgb="FF000000"/>
      <name val="Calibri"/>
    </font>
    <font>
      <color rgb="FF1A1A1A"/>
      <name val="Calibri"/>
    </font>
    <font>
      <u/>
      <sz val="11.0"/>
      <color rgb="FF0000FF"/>
      <name val="Calibri"/>
    </font>
    <font>
      <strike/>
      <u/>
      <sz val="11.0"/>
      <color rgb="FF0000FF"/>
      <name val="Calibri"/>
    </font>
  </fonts>
  <fills count="5">
    <fill>
      <patternFill patternType="none"/>
    </fill>
    <fill>
      <patternFill patternType="lightGray"/>
    </fill>
    <fill>
      <patternFill patternType="solid">
        <fgColor rgb="FF0B2545"/>
        <bgColor rgb="FF0B2545"/>
      </patternFill>
    </fill>
    <fill>
      <patternFill patternType="solid">
        <fgColor rgb="FFEEF3F9"/>
        <bgColor rgb="FFEEF3F9"/>
      </patternFill>
    </fill>
    <fill>
      <patternFill patternType="solid">
        <fgColor rgb="FFE7ECF3"/>
        <bgColor rgb="FFE7ECF3"/>
      </patternFill>
    </fill>
  </fills>
  <borders count="6">
    <border/>
    <border>
      <left style="thin">
        <color rgb="FFC8D0DA"/>
      </left>
      <right style="thin">
        <color rgb="FFC8D0DA"/>
      </right>
      <top style="thin">
        <color rgb="FFC8D0DA"/>
      </top>
      <bottom style="thin">
        <color rgb="FFC8D0DA"/>
      </bottom>
    </border>
    <border>
      <left/>
      <right/>
      <top/>
      <bottom/>
    </border>
    <border>
      <left/>
      <top/>
      <bottom/>
    </border>
    <border>
      <top/>
      <bottom/>
    </border>
    <border>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1" fillId="0" fontId="2"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3" fontId="2" numFmtId="0" xfId="0" applyAlignment="1" applyBorder="1" applyFill="1" applyFont="1">
      <alignment horizontal="left" shrinkToFit="0" vertical="top" wrapText="1"/>
    </xf>
    <xf borderId="1" fillId="3"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3" fontId="5" numFmtId="0" xfId="0" applyAlignment="1" applyBorder="1" applyFont="1">
      <alignment horizontal="left" shrinkToFit="0" vertical="top" wrapText="1"/>
    </xf>
    <xf borderId="1" fillId="3" fontId="4" numFmtId="0" xfId="0" applyAlignment="1" applyBorder="1" applyFont="1">
      <alignment horizontal="left" shrinkToFit="0" vertical="top" wrapText="1"/>
    </xf>
    <xf borderId="1" fillId="2" fontId="1" numFmtId="0" xfId="0" applyAlignment="1" applyBorder="1" applyFont="1">
      <alignment horizontal="center" shrinkToFit="0" vertical="center" wrapText="1"/>
    </xf>
    <xf borderId="2" fillId="2" fontId="6" numFmtId="0" xfId="0" applyAlignment="1" applyBorder="1" applyFont="1">
      <alignment shrinkToFit="0" vertical="bottom" wrapText="0"/>
    </xf>
    <xf borderId="3" fillId="2" fontId="7" numFmtId="0" xfId="0" applyAlignment="1" applyBorder="1" applyFont="1">
      <alignment shrinkToFit="0" vertical="center" wrapText="0"/>
    </xf>
    <xf borderId="4" fillId="0" fontId="8" numFmtId="0" xfId="0" applyBorder="1" applyFont="1"/>
    <xf borderId="5" fillId="0" fontId="8" numFmtId="0" xfId="0" applyBorder="1" applyFont="1"/>
    <xf borderId="3" fillId="4" fontId="3" numFmtId="0" xfId="0" applyAlignment="1" applyBorder="1" applyFill="1" applyFont="1">
      <alignment readingOrder="0" shrinkToFit="0" vertical="center" wrapText="1"/>
    </xf>
    <xf borderId="2" fillId="2" fontId="7" numFmtId="0" xfId="0" applyAlignment="1" applyBorder="1" applyFont="1">
      <alignment shrinkToFit="0" vertical="bottom" wrapText="1"/>
    </xf>
    <xf borderId="2" fillId="2" fontId="7" numFmtId="0" xfId="0" applyAlignment="1" applyBorder="1" applyFont="1">
      <alignment readingOrder="0" shrinkToFit="0" vertical="bottom" wrapText="1"/>
    </xf>
    <xf borderId="0" fillId="0" fontId="9" numFmtId="0" xfId="0" applyAlignment="1" applyFont="1">
      <alignment shrinkToFit="0" vertical="top" wrapText="1"/>
    </xf>
    <xf borderId="0" fillId="0" fontId="9" numFmtId="0" xfId="0" applyAlignment="1" applyFont="1">
      <alignment readingOrder="0" shrinkToFit="0" vertical="top" wrapText="1"/>
    </xf>
    <xf borderId="3" fillId="2" fontId="7" numFmtId="0" xfId="0" applyBorder="1" applyFont="1"/>
    <xf borderId="0" fillId="0" fontId="6" numFmtId="0" xfId="0" applyAlignment="1" applyFont="1">
      <alignment vertical="bottom"/>
    </xf>
    <xf borderId="3" fillId="4" fontId="10" numFmtId="0" xfId="0" applyAlignment="1" applyBorder="1" applyFont="1">
      <alignment shrinkToFit="0" wrapText="1"/>
    </xf>
    <xf borderId="2" fillId="2" fontId="7" numFmtId="0" xfId="0" applyAlignment="1" applyBorder="1" applyFont="1">
      <alignment shrinkToFit="0" vertical="bottom" wrapText="1"/>
    </xf>
    <xf borderId="0" fillId="0" fontId="6" numFmtId="0" xfId="0" applyAlignment="1" applyFont="1">
      <alignment shrinkToFit="0" vertical="top" wrapText="1"/>
    </xf>
    <xf borderId="0" fillId="0" fontId="6" numFmtId="0" xfId="0" applyAlignment="1" applyFont="1">
      <alignment vertical="top"/>
    </xf>
    <xf borderId="0" fillId="0" fontId="6" numFmtId="0" xfId="0" applyAlignment="1" applyFont="1">
      <alignment shrinkToFit="0" vertical="top" wrapText="1"/>
    </xf>
    <xf borderId="3" fillId="2" fontId="7" numFmtId="0" xfId="0" applyBorder="1" applyFont="1"/>
    <xf borderId="3" fillId="4" fontId="10" numFmtId="0" xfId="0" applyAlignment="1" applyBorder="1" applyFont="1">
      <alignment shrinkToFit="0" wrapText="1"/>
    </xf>
    <xf borderId="2" fillId="2" fontId="7" numFmtId="0" xfId="0" applyAlignment="1" applyBorder="1" applyFont="1">
      <alignment shrinkToFit="0" vertical="bottom" wrapText="1"/>
    </xf>
    <xf borderId="0" fillId="0" fontId="6" numFmtId="0" xfId="0" applyAlignment="1" applyFont="1">
      <alignment horizontal="right" shrinkToFit="0" vertical="top" wrapText="1"/>
    </xf>
    <xf borderId="0" fillId="0" fontId="6" numFmtId="0" xfId="0" applyAlignment="1" applyFont="1">
      <alignment shrinkToFit="0" vertical="top" wrapText="1"/>
    </xf>
    <xf borderId="0" fillId="0" fontId="6" numFmtId="0" xfId="0" applyAlignment="1" applyFont="1">
      <alignment readingOrder="0" shrinkToFit="0" vertical="top" wrapText="1"/>
    </xf>
    <xf borderId="0" fillId="0" fontId="11" numFmtId="0" xfId="0" applyAlignment="1" applyFont="1">
      <alignment shrinkToFit="0" vertical="top" wrapText="1"/>
    </xf>
    <xf borderId="0" fillId="0" fontId="12" numFmtId="0" xfId="0" applyAlignment="1" applyFont="1">
      <alignment shrinkToFit="0" vertical="top" wrapText="1"/>
    </xf>
    <xf borderId="0" fillId="0" fontId="6"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254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20.0"/>
    <col customWidth="1" min="3" max="6" width="8.71"/>
  </cols>
  <sheetData>
    <row r="1" ht="19.5" customHeight="1">
      <c r="A1" s="1" t="s">
        <v>0</v>
      </c>
      <c r="B1" s="1" t="s">
        <v>1</v>
      </c>
    </row>
    <row r="2" ht="59.25" customHeight="1">
      <c r="A2" s="2" t="s">
        <v>2</v>
      </c>
      <c r="B2" s="3" t="s">
        <v>3</v>
      </c>
    </row>
    <row r="3" ht="57.0" customHeight="1">
      <c r="A3" s="4" t="s">
        <v>4</v>
      </c>
      <c r="B3" s="5" t="s">
        <v>5</v>
      </c>
    </row>
    <row r="4" ht="43.5" customHeight="1">
      <c r="A4" s="2" t="s">
        <v>6</v>
      </c>
      <c r="B4" s="6" t="s">
        <v>7</v>
      </c>
    </row>
    <row r="5" ht="30.75" customHeight="1">
      <c r="A5" s="4" t="s">
        <v>8</v>
      </c>
      <c r="B5" s="5" t="s">
        <v>9</v>
      </c>
    </row>
    <row r="6" ht="30.75" customHeight="1">
      <c r="A6" s="2" t="s">
        <v>10</v>
      </c>
      <c r="B6" s="7" t="s">
        <v>11</v>
      </c>
    </row>
    <row r="7" ht="30.75" customHeight="1">
      <c r="A7" s="8" t="s">
        <v>12</v>
      </c>
      <c r="B7" s="9" t="s">
        <v>13</v>
      </c>
    </row>
    <row r="8" ht="45.75" customHeight="1">
      <c r="A8" s="2" t="s">
        <v>14</v>
      </c>
      <c r="B8" s="7" t="s">
        <v>15</v>
      </c>
    </row>
    <row r="9" ht="30.75" customHeight="1">
      <c r="A9" s="4"/>
      <c r="B9" s="5"/>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348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60.0"/>
    <col customWidth="1" min="3" max="3" width="30.0"/>
    <col customWidth="1" min="4" max="4" width="46.0"/>
    <col customWidth="1" min="5" max="24" width="8.71"/>
  </cols>
  <sheetData>
    <row r="1" ht="27.75" customHeight="1">
      <c r="A1" s="10" t="s">
        <v>16</v>
      </c>
      <c r="B1" s="10" t="s">
        <v>17</v>
      </c>
      <c r="C1" s="10" t="s">
        <v>18</v>
      </c>
      <c r="D1" s="10" t="s">
        <v>19</v>
      </c>
      <c r="E1" s="11"/>
      <c r="F1" s="11"/>
      <c r="G1" s="11"/>
      <c r="H1" s="11"/>
      <c r="I1" s="11"/>
      <c r="J1" s="11"/>
      <c r="K1" s="11"/>
      <c r="L1" s="11"/>
      <c r="M1" s="11"/>
      <c r="N1" s="11"/>
      <c r="O1" s="11"/>
      <c r="P1" s="11"/>
      <c r="Q1" s="11"/>
      <c r="R1" s="11"/>
      <c r="S1" s="11"/>
      <c r="T1" s="11"/>
      <c r="U1" s="11"/>
      <c r="V1" s="11"/>
      <c r="W1" s="11"/>
      <c r="X1" s="11"/>
      <c r="Y1" s="11"/>
      <c r="Z1" s="11"/>
    </row>
    <row r="2" ht="57.0" customHeight="1">
      <c r="A2" s="7" t="s">
        <v>20</v>
      </c>
      <c r="B2" s="7" t="s">
        <v>21</v>
      </c>
      <c r="C2" s="7" t="s">
        <v>22</v>
      </c>
      <c r="D2" s="7" t="s">
        <v>23</v>
      </c>
    </row>
    <row r="3" ht="43.5" customHeight="1">
      <c r="A3" s="5" t="s">
        <v>24</v>
      </c>
      <c r="B3" s="5" t="s">
        <v>25</v>
      </c>
      <c r="C3" s="5" t="s">
        <v>26</v>
      </c>
      <c r="D3" s="5" t="s">
        <v>27</v>
      </c>
    </row>
    <row r="4" ht="43.5" customHeight="1">
      <c r="A4" s="7" t="s">
        <v>28</v>
      </c>
      <c r="B4" s="7" t="s">
        <v>29</v>
      </c>
      <c r="C4" s="7" t="s">
        <v>30</v>
      </c>
      <c r="D4" s="7" t="s">
        <v>31</v>
      </c>
    </row>
    <row r="5" ht="30.75" customHeight="1">
      <c r="A5" s="5" t="s">
        <v>32</v>
      </c>
      <c r="B5" s="5" t="s">
        <v>33</v>
      </c>
      <c r="C5" s="5" t="s">
        <v>34</v>
      </c>
      <c r="D5" s="5" t="s">
        <v>35</v>
      </c>
    </row>
    <row r="6" ht="43.5" customHeight="1">
      <c r="A6" s="7" t="s">
        <v>36</v>
      </c>
      <c r="B6" s="7" t="s">
        <v>37</v>
      </c>
      <c r="C6" s="7" t="s">
        <v>38</v>
      </c>
      <c r="D6" s="7" t="s">
        <v>39</v>
      </c>
    </row>
    <row r="7" ht="43.5" customHeight="1">
      <c r="A7" s="5" t="s">
        <v>40</v>
      </c>
      <c r="B7" s="5" t="s">
        <v>41</v>
      </c>
      <c r="C7" s="5" t="s">
        <v>42</v>
      </c>
      <c r="D7" s="5" t="s">
        <v>43</v>
      </c>
    </row>
    <row r="8" ht="30.75" customHeight="1">
      <c r="A8" s="7" t="s">
        <v>44</v>
      </c>
      <c r="B8" s="7" t="s">
        <v>45</v>
      </c>
      <c r="C8" s="7" t="s">
        <v>46</v>
      </c>
      <c r="D8" s="7" t="s">
        <v>47</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8"/>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0"/>
    <col customWidth="1" min="2" max="2" width="22.0"/>
    <col customWidth="1" min="3" max="3" width="34.0"/>
    <col customWidth="1" min="4" max="4" width="52.0"/>
    <col customWidth="1" min="5" max="5" width="50.43"/>
    <col customWidth="1" min="6" max="6" width="52.0"/>
    <col customWidth="1" min="7" max="7" width="30.0"/>
    <col customWidth="1" min="8" max="8" width="18.0"/>
    <col customWidth="1" min="9" max="26" width="8.71"/>
  </cols>
  <sheetData>
    <row r="1" ht="25.5" customHeight="1">
      <c r="A1" s="12" t="s">
        <v>48</v>
      </c>
      <c r="B1" s="13"/>
      <c r="C1" s="13"/>
      <c r="D1" s="13"/>
      <c r="E1" s="13"/>
      <c r="F1" s="13"/>
      <c r="G1" s="13"/>
      <c r="H1" s="14"/>
    </row>
    <row r="2" ht="30.0" customHeight="1">
      <c r="A2" s="15" t="s">
        <v>49</v>
      </c>
      <c r="B2" s="13"/>
      <c r="C2" s="13"/>
      <c r="D2" s="13"/>
      <c r="E2" s="13"/>
      <c r="F2" s="13"/>
      <c r="G2" s="13"/>
      <c r="H2" s="14"/>
    </row>
    <row r="3" ht="30.0" customHeight="1">
      <c r="A3" s="16" t="s">
        <v>50</v>
      </c>
      <c r="B3" s="16" t="s">
        <v>51</v>
      </c>
      <c r="C3" s="16" t="s">
        <v>52</v>
      </c>
      <c r="D3" s="17" t="s">
        <v>53</v>
      </c>
      <c r="E3" s="16" t="s">
        <v>54</v>
      </c>
      <c r="F3" s="16" t="s">
        <v>55</v>
      </c>
      <c r="G3" s="17" t="s">
        <v>56</v>
      </c>
      <c r="H3" s="16" t="s">
        <v>57</v>
      </c>
    </row>
    <row r="4" ht="94.5" customHeight="1">
      <c r="A4" s="18" t="s">
        <v>58</v>
      </c>
      <c r="B4" s="18" t="s">
        <v>59</v>
      </c>
      <c r="C4" s="18" t="s">
        <v>60</v>
      </c>
      <c r="D4" s="18" t="s">
        <v>61</v>
      </c>
      <c r="E4" s="18" t="s">
        <v>62</v>
      </c>
      <c r="F4" s="18" t="s">
        <v>63</v>
      </c>
      <c r="G4" s="18"/>
      <c r="H4" s="18" t="s">
        <v>64</v>
      </c>
    </row>
    <row r="5" ht="81.75" customHeight="1">
      <c r="A5" s="18" t="s">
        <v>58</v>
      </c>
      <c r="B5" s="18" t="s">
        <v>65</v>
      </c>
      <c r="C5" s="18" t="s">
        <v>66</v>
      </c>
      <c r="D5" s="18" t="s">
        <v>67</v>
      </c>
      <c r="E5" s="19" t="s">
        <v>68</v>
      </c>
      <c r="F5" s="18" t="s">
        <v>69</v>
      </c>
      <c r="G5" s="18"/>
      <c r="H5" s="18" t="s">
        <v>70</v>
      </c>
    </row>
    <row r="6" ht="108.0" customHeight="1">
      <c r="A6" s="18" t="s">
        <v>58</v>
      </c>
      <c r="B6" s="18" t="s">
        <v>71</v>
      </c>
      <c r="C6" s="18" t="s">
        <v>72</v>
      </c>
      <c r="D6" s="18" t="s">
        <v>73</v>
      </c>
      <c r="E6" s="19" t="s">
        <v>74</v>
      </c>
      <c r="F6" s="18" t="s">
        <v>75</v>
      </c>
      <c r="G6" s="18"/>
      <c r="H6" s="18" t="s">
        <v>76</v>
      </c>
    </row>
    <row r="7" ht="81.75" customHeight="1">
      <c r="A7" s="18" t="s">
        <v>58</v>
      </c>
      <c r="B7" s="18" t="s">
        <v>77</v>
      </c>
      <c r="C7" s="18" t="s">
        <v>78</v>
      </c>
      <c r="D7" s="18" t="s">
        <v>79</v>
      </c>
      <c r="E7" s="18" t="s">
        <v>80</v>
      </c>
      <c r="F7" s="18" t="s">
        <v>81</v>
      </c>
      <c r="G7" s="18"/>
      <c r="H7" s="18" t="s">
        <v>82</v>
      </c>
    </row>
    <row r="8" ht="81.75" customHeight="1">
      <c r="A8" s="18" t="s">
        <v>83</v>
      </c>
      <c r="B8" s="18" t="s">
        <v>84</v>
      </c>
      <c r="C8" s="18" t="s">
        <v>85</v>
      </c>
      <c r="D8" s="18" t="s">
        <v>86</v>
      </c>
      <c r="E8" s="18" t="s">
        <v>87</v>
      </c>
      <c r="F8" s="18" t="s">
        <v>88</v>
      </c>
      <c r="G8" s="18"/>
      <c r="H8" s="18" t="s">
        <v>89</v>
      </c>
    </row>
    <row r="9" ht="108.0" customHeight="1">
      <c r="A9" s="18" t="s">
        <v>83</v>
      </c>
      <c r="B9" s="18" t="s">
        <v>90</v>
      </c>
      <c r="C9" s="18" t="s">
        <v>91</v>
      </c>
      <c r="D9" s="18" t="s">
        <v>92</v>
      </c>
      <c r="E9" s="18" t="s">
        <v>93</v>
      </c>
      <c r="F9" s="18" t="s">
        <v>94</v>
      </c>
      <c r="G9" s="18"/>
      <c r="H9" s="18" t="s">
        <v>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20.57"/>
    <col customWidth="1" min="3" max="3" width="22.0"/>
    <col customWidth="1" min="4" max="4" width="30.0"/>
    <col customWidth="1" min="5" max="5" width="31.43"/>
    <col customWidth="1" min="6" max="6" width="49.0"/>
    <col customWidth="1" min="7" max="7" width="47.43"/>
    <col customWidth="1" min="8" max="8" width="38.0"/>
    <col customWidth="1" min="9" max="9" width="34.0"/>
    <col customWidth="1" min="10" max="10" width="20.0"/>
    <col customWidth="1" min="11" max="26" width="8.71"/>
  </cols>
  <sheetData>
    <row r="1" ht="25.5" customHeight="1">
      <c r="A1" s="20" t="s">
        <v>96</v>
      </c>
      <c r="B1" s="13"/>
      <c r="C1" s="13"/>
      <c r="D1" s="13"/>
      <c r="E1" s="13"/>
      <c r="F1" s="13"/>
      <c r="G1" s="13"/>
      <c r="H1" s="13"/>
      <c r="I1" s="13"/>
      <c r="J1" s="14"/>
      <c r="K1" s="21"/>
      <c r="L1" s="21"/>
      <c r="M1" s="21"/>
      <c r="N1" s="21"/>
      <c r="O1" s="21"/>
      <c r="P1" s="21"/>
      <c r="Q1" s="21"/>
      <c r="R1" s="21"/>
      <c r="S1" s="21"/>
      <c r="T1" s="21"/>
      <c r="U1" s="21"/>
      <c r="V1" s="21"/>
      <c r="W1" s="21"/>
      <c r="X1" s="21"/>
      <c r="Y1" s="21"/>
      <c r="Z1" s="21"/>
    </row>
    <row r="2" ht="30.0" customHeight="1">
      <c r="A2" s="22" t="s">
        <v>97</v>
      </c>
      <c r="B2" s="13"/>
      <c r="C2" s="13"/>
      <c r="D2" s="13"/>
      <c r="E2" s="13"/>
      <c r="F2" s="13"/>
      <c r="G2" s="13"/>
      <c r="H2" s="13"/>
      <c r="I2" s="13"/>
      <c r="J2" s="14"/>
      <c r="K2" s="21"/>
      <c r="L2" s="21"/>
      <c r="M2" s="21"/>
      <c r="N2" s="21"/>
      <c r="O2" s="21"/>
      <c r="P2" s="21"/>
      <c r="Q2" s="21"/>
      <c r="R2" s="21"/>
      <c r="S2" s="21"/>
      <c r="T2" s="21"/>
      <c r="U2" s="21"/>
      <c r="V2" s="21"/>
      <c r="W2" s="21"/>
      <c r="X2" s="21"/>
      <c r="Y2" s="21"/>
      <c r="Z2" s="21"/>
    </row>
    <row r="3" ht="30.0" customHeight="1">
      <c r="A3" s="16" t="s">
        <v>50</v>
      </c>
      <c r="B3" s="16" t="s">
        <v>98</v>
      </c>
      <c r="C3" s="23" t="s">
        <v>99</v>
      </c>
      <c r="D3" s="16" t="s">
        <v>100</v>
      </c>
      <c r="E3" s="23" t="s">
        <v>52</v>
      </c>
      <c r="F3" s="23" t="s">
        <v>53</v>
      </c>
      <c r="G3" s="23" t="s">
        <v>101</v>
      </c>
      <c r="H3" s="16" t="s">
        <v>102</v>
      </c>
      <c r="I3" s="23" t="s">
        <v>103</v>
      </c>
      <c r="J3" s="16" t="s">
        <v>57</v>
      </c>
      <c r="K3" s="21"/>
      <c r="L3" s="21"/>
      <c r="M3" s="21"/>
      <c r="N3" s="21"/>
      <c r="O3" s="21"/>
      <c r="P3" s="21"/>
      <c r="Q3" s="21"/>
      <c r="R3" s="21"/>
      <c r="S3" s="21"/>
      <c r="T3" s="21"/>
      <c r="U3" s="21"/>
      <c r="V3" s="21"/>
      <c r="W3" s="21"/>
      <c r="X3" s="21"/>
      <c r="Y3" s="21"/>
      <c r="Z3" s="21"/>
    </row>
    <row r="4" ht="55.5" customHeight="1">
      <c r="A4" s="24" t="s">
        <v>104</v>
      </c>
      <c r="B4" s="24" t="s">
        <v>105</v>
      </c>
      <c r="C4" s="24" t="s">
        <v>106</v>
      </c>
      <c r="D4" s="24" t="s">
        <v>107</v>
      </c>
      <c r="E4" s="24" t="s">
        <v>108</v>
      </c>
      <c r="F4" s="24" t="s">
        <v>109</v>
      </c>
      <c r="G4" s="24" t="s">
        <v>110</v>
      </c>
      <c r="H4" s="25"/>
      <c r="I4" s="24" t="s">
        <v>111</v>
      </c>
      <c r="J4" s="24" t="s">
        <v>112</v>
      </c>
      <c r="K4" s="21"/>
      <c r="L4" s="21"/>
      <c r="M4" s="21"/>
      <c r="N4" s="21"/>
      <c r="O4" s="21"/>
      <c r="P4" s="21"/>
      <c r="Q4" s="21"/>
      <c r="R4" s="21"/>
      <c r="S4" s="21"/>
      <c r="T4" s="21"/>
      <c r="U4" s="21"/>
      <c r="V4" s="21"/>
      <c r="W4" s="21"/>
      <c r="X4" s="21"/>
      <c r="Y4" s="21"/>
      <c r="Z4" s="21"/>
    </row>
    <row r="5" ht="69.0" customHeight="1">
      <c r="A5" s="24" t="s">
        <v>104</v>
      </c>
      <c r="B5" s="24" t="s">
        <v>113</v>
      </c>
      <c r="C5" s="24" t="s">
        <v>106</v>
      </c>
      <c r="D5" s="24" t="s">
        <v>114</v>
      </c>
      <c r="E5" s="24" t="s">
        <v>115</v>
      </c>
      <c r="F5" s="24" t="s">
        <v>116</v>
      </c>
      <c r="G5" s="24" t="s">
        <v>117</v>
      </c>
      <c r="H5" s="25"/>
      <c r="I5" s="24" t="s">
        <v>118</v>
      </c>
      <c r="J5" s="24" t="s">
        <v>119</v>
      </c>
      <c r="K5" s="21"/>
      <c r="L5" s="21"/>
      <c r="M5" s="21"/>
      <c r="N5" s="21"/>
      <c r="O5" s="21"/>
      <c r="P5" s="21"/>
      <c r="Q5" s="21"/>
      <c r="R5" s="21"/>
      <c r="S5" s="21"/>
      <c r="T5" s="21"/>
      <c r="U5" s="21"/>
      <c r="V5" s="21"/>
      <c r="W5" s="21"/>
      <c r="X5" s="21"/>
      <c r="Y5" s="21"/>
      <c r="Z5" s="21"/>
    </row>
    <row r="6" ht="55.5" customHeight="1">
      <c r="A6" s="24" t="s">
        <v>104</v>
      </c>
      <c r="B6" s="24" t="s">
        <v>120</v>
      </c>
      <c r="C6" s="24" t="s">
        <v>106</v>
      </c>
      <c r="D6" s="24" t="s">
        <v>121</v>
      </c>
      <c r="E6" s="24" t="s">
        <v>122</v>
      </c>
      <c r="F6" s="24" t="s">
        <v>123</v>
      </c>
      <c r="G6" s="24" t="s">
        <v>124</v>
      </c>
      <c r="H6" s="25"/>
      <c r="I6" s="24" t="s">
        <v>125</v>
      </c>
      <c r="J6" s="24" t="s">
        <v>126</v>
      </c>
      <c r="K6" s="21"/>
      <c r="L6" s="21"/>
      <c r="M6" s="21"/>
      <c r="N6" s="21"/>
      <c r="O6" s="21"/>
      <c r="P6" s="21"/>
      <c r="Q6" s="21"/>
      <c r="R6" s="21"/>
      <c r="S6" s="21"/>
      <c r="T6" s="21"/>
      <c r="U6" s="21"/>
      <c r="V6" s="21"/>
      <c r="W6" s="21"/>
      <c r="X6" s="21"/>
      <c r="Y6" s="21"/>
      <c r="Z6" s="21"/>
    </row>
    <row r="7" ht="69.0" customHeight="1">
      <c r="A7" s="24" t="s">
        <v>127</v>
      </c>
      <c r="B7" s="24" t="s">
        <v>128</v>
      </c>
      <c r="C7" s="24" t="s">
        <v>106</v>
      </c>
      <c r="D7" s="24" t="s">
        <v>129</v>
      </c>
      <c r="E7" s="24" t="s">
        <v>130</v>
      </c>
      <c r="F7" s="24" t="s">
        <v>131</v>
      </c>
      <c r="G7" s="24" t="s">
        <v>132</v>
      </c>
      <c r="H7" s="25"/>
      <c r="I7" s="24" t="s">
        <v>133</v>
      </c>
      <c r="J7" s="24" t="s">
        <v>134</v>
      </c>
      <c r="K7" s="21"/>
      <c r="L7" s="21"/>
      <c r="M7" s="21"/>
      <c r="N7" s="21"/>
      <c r="O7" s="21"/>
      <c r="P7" s="21"/>
      <c r="Q7" s="21"/>
      <c r="R7" s="21"/>
      <c r="S7" s="21"/>
      <c r="T7" s="21"/>
      <c r="U7" s="21"/>
      <c r="V7" s="21"/>
      <c r="W7" s="21"/>
      <c r="X7" s="21"/>
      <c r="Y7" s="21"/>
      <c r="Z7" s="21"/>
    </row>
    <row r="8" ht="69.0" customHeight="1">
      <c r="A8" s="24" t="s">
        <v>135</v>
      </c>
      <c r="B8" s="24" t="s">
        <v>136</v>
      </c>
      <c r="C8" s="24" t="s">
        <v>137</v>
      </c>
      <c r="D8" s="24" t="s">
        <v>138</v>
      </c>
      <c r="E8" s="24" t="s">
        <v>139</v>
      </c>
      <c r="F8" s="24" t="s">
        <v>140</v>
      </c>
      <c r="G8" s="24" t="s">
        <v>141</v>
      </c>
      <c r="H8" s="25"/>
      <c r="I8" s="24" t="s">
        <v>142</v>
      </c>
      <c r="J8" s="24" t="s">
        <v>143</v>
      </c>
      <c r="K8" s="21"/>
      <c r="L8" s="21"/>
      <c r="M8" s="21"/>
      <c r="N8" s="21"/>
      <c r="O8" s="21"/>
      <c r="P8" s="21"/>
      <c r="Q8" s="21"/>
      <c r="R8" s="21"/>
      <c r="S8" s="21"/>
      <c r="T8" s="21"/>
      <c r="U8" s="21"/>
      <c r="V8" s="21"/>
      <c r="W8" s="21"/>
      <c r="X8" s="21"/>
      <c r="Y8" s="21"/>
      <c r="Z8" s="21"/>
    </row>
    <row r="9" ht="55.5" customHeight="1">
      <c r="A9" s="24" t="s">
        <v>135</v>
      </c>
      <c r="B9" s="24" t="s">
        <v>144</v>
      </c>
      <c r="C9" s="24" t="s">
        <v>137</v>
      </c>
      <c r="D9" s="24" t="s">
        <v>145</v>
      </c>
      <c r="E9" s="24" t="s">
        <v>146</v>
      </c>
      <c r="F9" s="24" t="s">
        <v>147</v>
      </c>
      <c r="G9" s="26" t="s">
        <v>148</v>
      </c>
      <c r="H9" s="25"/>
      <c r="I9" s="24" t="s">
        <v>149</v>
      </c>
      <c r="J9" s="24" t="s">
        <v>150</v>
      </c>
      <c r="K9" s="21"/>
      <c r="L9" s="21"/>
      <c r="M9" s="21"/>
      <c r="N9" s="21"/>
      <c r="O9" s="21"/>
      <c r="P9" s="21"/>
      <c r="Q9" s="21"/>
      <c r="R9" s="21"/>
      <c r="S9" s="21"/>
      <c r="T9" s="21"/>
      <c r="U9" s="21"/>
      <c r="V9" s="21"/>
      <c r="W9" s="21"/>
      <c r="X9" s="21"/>
      <c r="Y9" s="21"/>
      <c r="Z9" s="21"/>
    </row>
    <row r="10" ht="55.5" customHeight="1">
      <c r="A10" s="24" t="s">
        <v>135</v>
      </c>
      <c r="B10" s="24" t="s">
        <v>151</v>
      </c>
      <c r="C10" s="24" t="s">
        <v>137</v>
      </c>
      <c r="D10" s="24" t="s">
        <v>145</v>
      </c>
      <c r="E10" s="24" t="s">
        <v>146</v>
      </c>
      <c r="F10" s="24" t="s">
        <v>152</v>
      </c>
      <c r="G10" s="26" t="s">
        <v>153</v>
      </c>
      <c r="H10" s="25"/>
      <c r="I10" s="24" t="s">
        <v>154</v>
      </c>
      <c r="J10" s="24" t="s">
        <v>155</v>
      </c>
      <c r="K10" s="21"/>
      <c r="L10" s="21"/>
      <c r="M10" s="21"/>
      <c r="N10" s="21"/>
      <c r="O10" s="21"/>
      <c r="P10" s="21"/>
      <c r="Q10" s="21"/>
      <c r="R10" s="21"/>
      <c r="S10" s="21"/>
      <c r="T10" s="21"/>
      <c r="U10" s="21"/>
      <c r="V10" s="21"/>
      <c r="W10" s="21"/>
      <c r="X10" s="21"/>
      <c r="Y10" s="21"/>
      <c r="Z10" s="21"/>
    </row>
    <row r="11" ht="69.0" customHeight="1">
      <c r="A11" s="24" t="s">
        <v>135</v>
      </c>
      <c r="B11" s="24" t="s">
        <v>156</v>
      </c>
      <c r="C11" s="24" t="s">
        <v>137</v>
      </c>
      <c r="D11" s="24" t="s">
        <v>138</v>
      </c>
      <c r="E11" s="24" t="s">
        <v>157</v>
      </c>
      <c r="F11" s="24" t="s">
        <v>158</v>
      </c>
      <c r="G11" s="26" t="s">
        <v>159</v>
      </c>
      <c r="H11" s="25"/>
      <c r="I11" s="24" t="s">
        <v>160</v>
      </c>
      <c r="J11" s="24" t="s">
        <v>161</v>
      </c>
      <c r="K11" s="21"/>
      <c r="L11" s="21"/>
      <c r="M11" s="21"/>
      <c r="N11" s="21"/>
      <c r="O11" s="21"/>
      <c r="P11" s="21"/>
      <c r="Q11" s="21"/>
      <c r="R11" s="21"/>
      <c r="S11" s="21"/>
      <c r="T11" s="21"/>
      <c r="U11" s="21"/>
      <c r="V11" s="21"/>
      <c r="W11" s="21"/>
      <c r="X11" s="21"/>
      <c r="Y11" s="21"/>
      <c r="Z11" s="21"/>
    </row>
    <row r="12" ht="55.5" customHeight="1">
      <c r="A12" s="24" t="s">
        <v>162</v>
      </c>
      <c r="B12" s="24" t="s">
        <v>163</v>
      </c>
      <c r="C12" s="24" t="s">
        <v>90</v>
      </c>
      <c r="D12" s="24" t="s">
        <v>164</v>
      </c>
      <c r="E12" s="24" t="s">
        <v>165</v>
      </c>
      <c r="F12" s="24" t="s">
        <v>166</v>
      </c>
      <c r="G12" s="24" t="s">
        <v>167</v>
      </c>
      <c r="H12" s="25"/>
      <c r="I12" s="24" t="s">
        <v>168</v>
      </c>
      <c r="J12" s="24" t="s">
        <v>169</v>
      </c>
      <c r="K12" s="21"/>
      <c r="L12" s="21"/>
      <c r="M12" s="21"/>
      <c r="N12" s="21"/>
      <c r="O12" s="21"/>
      <c r="P12" s="21"/>
      <c r="Q12" s="21"/>
      <c r="R12" s="21"/>
      <c r="S12" s="21"/>
      <c r="T12" s="21"/>
      <c r="U12" s="21"/>
      <c r="V12" s="21"/>
      <c r="W12" s="21"/>
      <c r="X12" s="21"/>
      <c r="Y12" s="21"/>
      <c r="Z12" s="21"/>
    </row>
    <row r="13" ht="42.75" customHeight="1">
      <c r="A13" s="24" t="s">
        <v>162</v>
      </c>
      <c r="B13" s="24" t="s">
        <v>170</v>
      </c>
      <c r="C13" s="24" t="s">
        <v>90</v>
      </c>
      <c r="D13" s="24" t="s">
        <v>171</v>
      </c>
      <c r="E13" s="24" t="s">
        <v>172</v>
      </c>
      <c r="F13" s="24" t="s">
        <v>173</v>
      </c>
      <c r="G13" s="24" t="s">
        <v>174</v>
      </c>
      <c r="H13" s="25"/>
      <c r="I13" s="24" t="s">
        <v>175</v>
      </c>
      <c r="J13" s="24" t="s">
        <v>176</v>
      </c>
      <c r="K13" s="21"/>
      <c r="L13" s="21"/>
      <c r="M13" s="21"/>
      <c r="N13" s="21"/>
      <c r="O13" s="21"/>
      <c r="P13" s="21"/>
      <c r="Q13" s="21"/>
      <c r="R13" s="21"/>
      <c r="S13" s="21"/>
      <c r="T13" s="21"/>
      <c r="U13" s="21"/>
      <c r="V13" s="21"/>
      <c r="W13" s="21"/>
      <c r="X13" s="21"/>
      <c r="Y13" s="21"/>
      <c r="Z13" s="21"/>
    </row>
    <row r="14" ht="55.5" customHeight="1">
      <c r="A14" s="24" t="s">
        <v>162</v>
      </c>
      <c r="B14" s="24" t="s">
        <v>177</v>
      </c>
      <c r="C14" s="24" t="s">
        <v>106</v>
      </c>
      <c r="D14" s="24" t="s">
        <v>178</v>
      </c>
      <c r="E14" s="24" t="s">
        <v>179</v>
      </c>
      <c r="F14" s="24" t="s">
        <v>180</v>
      </c>
      <c r="G14" s="24" t="s">
        <v>181</v>
      </c>
      <c r="H14" s="25"/>
      <c r="I14" s="24" t="s">
        <v>182</v>
      </c>
      <c r="J14" s="24" t="s">
        <v>183</v>
      </c>
      <c r="K14" s="21"/>
      <c r="L14" s="21"/>
      <c r="M14" s="21"/>
      <c r="N14" s="21"/>
      <c r="O14" s="21"/>
      <c r="P14" s="21"/>
      <c r="Q14" s="21"/>
      <c r="R14" s="21"/>
      <c r="S14" s="21"/>
      <c r="T14" s="21"/>
      <c r="U14" s="21"/>
      <c r="V14" s="21"/>
      <c r="W14" s="21"/>
      <c r="X14" s="21"/>
      <c r="Y14" s="21"/>
      <c r="Z14" s="21"/>
    </row>
    <row r="15" ht="42.75" customHeight="1">
      <c r="A15" s="24" t="s">
        <v>184</v>
      </c>
      <c r="B15" s="24" t="s">
        <v>185</v>
      </c>
      <c r="C15" s="24" t="s">
        <v>137</v>
      </c>
      <c r="D15" s="24" t="s">
        <v>186</v>
      </c>
      <c r="E15" s="24" t="s">
        <v>187</v>
      </c>
      <c r="F15" s="24" t="s">
        <v>188</v>
      </c>
      <c r="G15" s="24" t="s">
        <v>189</v>
      </c>
      <c r="H15" s="25"/>
      <c r="I15" s="24" t="s">
        <v>190</v>
      </c>
      <c r="J15" s="24" t="s">
        <v>191</v>
      </c>
      <c r="K15" s="21"/>
      <c r="L15" s="21"/>
      <c r="M15" s="21"/>
      <c r="N15" s="21"/>
      <c r="O15" s="21"/>
      <c r="P15" s="21"/>
      <c r="Q15" s="21"/>
      <c r="R15" s="21"/>
      <c r="S15" s="21"/>
      <c r="T15" s="21"/>
      <c r="U15" s="21"/>
      <c r="V15" s="21"/>
      <c r="W15" s="21"/>
      <c r="X15" s="21"/>
      <c r="Y15" s="21"/>
      <c r="Z15" s="21"/>
    </row>
    <row r="16" ht="30.0" customHeight="1">
      <c r="A16" s="24" t="s">
        <v>184</v>
      </c>
      <c r="B16" s="24" t="s">
        <v>192</v>
      </c>
      <c r="C16" s="24" t="s">
        <v>137</v>
      </c>
      <c r="D16" s="24" t="s">
        <v>193</v>
      </c>
      <c r="E16" s="24" t="s">
        <v>194</v>
      </c>
      <c r="F16" s="24" t="s">
        <v>195</v>
      </c>
      <c r="G16" s="24" t="s">
        <v>196</v>
      </c>
      <c r="H16" s="25"/>
      <c r="I16" s="24" t="s">
        <v>197</v>
      </c>
      <c r="J16" s="24" t="s">
        <v>198</v>
      </c>
      <c r="K16" s="21"/>
      <c r="L16" s="21"/>
      <c r="M16" s="21"/>
      <c r="N16" s="21"/>
      <c r="O16" s="21"/>
      <c r="P16" s="21"/>
      <c r="Q16" s="21"/>
      <c r="R16" s="21"/>
      <c r="S16" s="21"/>
      <c r="T16" s="21"/>
      <c r="U16" s="21"/>
      <c r="V16" s="21"/>
      <c r="W16" s="21"/>
      <c r="X16" s="21"/>
      <c r="Y16" s="21"/>
      <c r="Z16" s="21"/>
    </row>
    <row r="17" ht="42.75" customHeight="1">
      <c r="A17" s="24" t="s">
        <v>184</v>
      </c>
      <c r="B17" s="24" t="s">
        <v>199</v>
      </c>
      <c r="C17" s="24" t="s">
        <v>137</v>
      </c>
      <c r="D17" s="24" t="s">
        <v>200</v>
      </c>
      <c r="E17" s="24" t="s">
        <v>201</v>
      </c>
      <c r="F17" s="24" t="s">
        <v>202</v>
      </c>
      <c r="G17" s="24" t="s">
        <v>203</v>
      </c>
      <c r="H17" s="25"/>
      <c r="I17" s="24" t="s">
        <v>204</v>
      </c>
      <c r="J17" s="24" t="s">
        <v>205</v>
      </c>
      <c r="K17" s="21"/>
      <c r="L17" s="21"/>
      <c r="M17" s="21"/>
      <c r="N17" s="21"/>
      <c r="O17" s="21"/>
      <c r="P17" s="21"/>
      <c r="Q17" s="21"/>
      <c r="R17" s="21"/>
      <c r="S17" s="21"/>
      <c r="T17" s="21"/>
      <c r="U17" s="21"/>
      <c r="V17" s="21"/>
      <c r="W17" s="21"/>
      <c r="X17" s="21"/>
      <c r="Y17" s="21"/>
      <c r="Z17" s="21"/>
    </row>
    <row r="18" ht="55.5" customHeight="1">
      <c r="A18" s="24" t="s">
        <v>184</v>
      </c>
      <c r="B18" s="24" t="s">
        <v>206</v>
      </c>
      <c r="C18" s="24" t="s">
        <v>137</v>
      </c>
      <c r="D18" s="24" t="s">
        <v>207</v>
      </c>
      <c r="E18" s="24" t="s">
        <v>208</v>
      </c>
      <c r="F18" s="24" t="s">
        <v>209</v>
      </c>
      <c r="G18" s="24" t="s">
        <v>210</v>
      </c>
      <c r="H18" s="25"/>
      <c r="I18" s="24" t="s">
        <v>211</v>
      </c>
      <c r="J18" s="24" t="s">
        <v>212</v>
      </c>
      <c r="K18" s="21"/>
      <c r="L18" s="21"/>
      <c r="M18" s="21"/>
      <c r="N18" s="21"/>
      <c r="O18" s="21"/>
      <c r="P18" s="21"/>
      <c r="Q18" s="21"/>
      <c r="R18" s="21"/>
      <c r="S18" s="21"/>
      <c r="T18" s="21"/>
      <c r="U18" s="21"/>
      <c r="V18" s="21"/>
      <c r="W18" s="21"/>
      <c r="X18" s="21"/>
      <c r="Y18" s="21"/>
      <c r="Z18" s="21"/>
    </row>
    <row r="19" ht="55.5" customHeight="1">
      <c r="A19" s="24" t="s">
        <v>184</v>
      </c>
      <c r="B19" s="24" t="s">
        <v>213</v>
      </c>
      <c r="C19" s="24" t="s">
        <v>137</v>
      </c>
      <c r="D19" s="24" t="s">
        <v>214</v>
      </c>
      <c r="E19" s="24" t="s">
        <v>215</v>
      </c>
      <c r="F19" s="24" t="s">
        <v>216</v>
      </c>
      <c r="G19" s="24" t="s">
        <v>217</v>
      </c>
      <c r="H19" s="25"/>
      <c r="I19" s="24" t="s">
        <v>218</v>
      </c>
      <c r="J19" s="24" t="s">
        <v>219</v>
      </c>
      <c r="K19" s="21"/>
      <c r="L19" s="21"/>
      <c r="M19" s="21"/>
      <c r="N19" s="21"/>
      <c r="O19" s="21"/>
      <c r="P19" s="21"/>
      <c r="Q19" s="21"/>
      <c r="R19" s="21"/>
      <c r="S19" s="21"/>
      <c r="T19" s="21"/>
      <c r="U19" s="21"/>
      <c r="V19" s="21"/>
      <c r="W19" s="21"/>
      <c r="X19" s="21"/>
      <c r="Y19" s="21"/>
      <c r="Z19" s="21"/>
    </row>
    <row r="20" ht="55.5" customHeight="1">
      <c r="A20" s="24" t="s">
        <v>184</v>
      </c>
      <c r="B20" s="24" t="s">
        <v>220</v>
      </c>
      <c r="C20" s="24" t="s">
        <v>137</v>
      </c>
      <c r="D20" s="24" t="s">
        <v>214</v>
      </c>
      <c r="E20" s="24" t="s">
        <v>221</v>
      </c>
      <c r="F20" s="24" t="s">
        <v>222</v>
      </c>
      <c r="G20" s="26" t="s">
        <v>223</v>
      </c>
      <c r="H20" s="25"/>
      <c r="I20" s="24" t="s">
        <v>224</v>
      </c>
      <c r="J20" s="24" t="s">
        <v>225</v>
      </c>
      <c r="K20" s="21"/>
      <c r="L20" s="21"/>
      <c r="M20" s="21"/>
      <c r="N20" s="21"/>
      <c r="O20" s="21"/>
      <c r="P20" s="21"/>
      <c r="Q20" s="21"/>
      <c r="R20" s="21"/>
      <c r="S20" s="21"/>
      <c r="T20" s="21"/>
      <c r="U20" s="21"/>
      <c r="V20" s="21"/>
      <c r="W20" s="21"/>
      <c r="X20" s="21"/>
      <c r="Y20" s="21"/>
      <c r="Z20" s="21"/>
    </row>
    <row r="21" ht="55.5" customHeight="1">
      <c r="A21" s="24" t="s">
        <v>226</v>
      </c>
      <c r="B21" s="24" t="s">
        <v>227</v>
      </c>
      <c r="C21" s="24" t="s">
        <v>228</v>
      </c>
      <c r="D21" s="24" t="s">
        <v>229</v>
      </c>
      <c r="E21" s="26" t="s">
        <v>230</v>
      </c>
      <c r="F21" s="24" t="s">
        <v>231</v>
      </c>
      <c r="G21" s="24" t="s">
        <v>232</v>
      </c>
      <c r="H21" s="25"/>
      <c r="I21" s="24" t="s">
        <v>233</v>
      </c>
      <c r="J21" s="24" t="s">
        <v>234</v>
      </c>
      <c r="K21" s="21"/>
      <c r="L21" s="21"/>
      <c r="M21" s="21"/>
      <c r="N21" s="21"/>
      <c r="O21" s="21"/>
      <c r="P21" s="21"/>
      <c r="Q21" s="21"/>
      <c r="R21" s="21"/>
      <c r="S21" s="21"/>
      <c r="T21" s="21"/>
      <c r="U21" s="21"/>
      <c r="V21" s="21"/>
      <c r="W21" s="21"/>
      <c r="X21" s="21"/>
      <c r="Y21" s="21"/>
      <c r="Z21" s="21"/>
    </row>
    <row r="22" ht="42.75" customHeight="1">
      <c r="A22" s="24" t="s">
        <v>226</v>
      </c>
      <c r="B22" s="24" t="s">
        <v>235</v>
      </c>
      <c r="C22" s="24" t="s">
        <v>228</v>
      </c>
      <c r="D22" s="24" t="s">
        <v>229</v>
      </c>
      <c r="E22" s="24" t="s">
        <v>236</v>
      </c>
      <c r="F22" s="24" t="s">
        <v>237</v>
      </c>
      <c r="G22" s="24" t="s">
        <v>238</v>
      </c>
      <c r="H22" s="25"/>
      <c r="I22" s="24" t="s">
        <v>239</v>
      </c>
      <c r="J22" s="24" t="s">
        <v>240</v>
      </c>
      <c r="K22" s="21"/>
      <c r="L22" s="21"/>
      <c r="M22" s="21"/>
      <c r="N22" s="21"/>
      <c r="O22" s="21"/>
      <c r="P22" s="21"/>
      <c r="Q22" s="21"/>
      <c r="R22" s="21"/>
      <c r="S22" s="21"/>
      <c r="T22" s="21"/>
      <c r="U22" s="21"/>
      <c r="V22" s="21"/>
      <c r="W22" s="21"/>
      <c r="X22" s="21"/>
      <c r="Y22" s="21"/>
      <c r="Z22" s="21"/>
    </row>
    <row r="23" ht="55.5" customHeight="1">
      <c r="A23" s="24" t="s">
        <v>226</v>
      </c>
      <c r="B23" s="24" t="s">
        <v>241</v>
      </c>
      <c r="C23" s="24" t="s">
        <v>228</v>
      </c>
      <c r="D23" s="24" t="s">
        <v>242</v>
      </c>
      <c r="E23" s="24" t="s">
        <v>243</v>
      </c>
      <c r="F23" s="26" t="s">
        <v>244</v>
      </c>
      <c r="G23" s="24" t="s">
        <v>245</v>
      </c>
      <c r="H23" s="25"/>
      <c r="I23" s="24" t="s">
        <v>246</v>
      </c>
      <c r="J23" s="24" t="s">
        <v>247</v>
      </c>
      <c r="K23" s="21"/>
      <c r="L23" s="21"/>
      <c r="M23" s="21"/>
      <c r="N23" s="21"/>
      <c r="O23" s="21"/>
      <c r="P23" s="21"/>
      <c r="Q23" s="21"/>
      <c r="R23" s="21"/>
      <c r="S23" s="21"/>
      <c r="T23" s="21"/>
      <c r="U23" s="21"/>
      <c r="V23" s="21"/>
      <c r="W23" s="21"/>
      <c r="X23" s="21"/>
      <c r="Y23" s="21"/>
      <c r="Z23" s="21"/>
    </row>
    <row r="24" ht="42.75" customHeight="1">
      <c r="A24" s="24" t="s">
        <v>248</v>
      </c>
      <c r="B24" s="24" t="s">
        <v>249</v>
      </c>
      <c r="C24" s="24" t="s">
        <v>250</v>
      </c>
      <c r="D24" s="24" t="s">
        <v>251</v>
      </c>
      <c r="E24" s="24" t="s">
        <v>252</v>
      </c>
      <c r="F24" s="24" t="s">
        <v>253</v>
      </c>
      <c r="G24" s="24" t="s">
        <v>254</v>
      </c>
      <c r="H24" s="25"/>
      <c r="I24" s="24" t="s">
        <v>255</v>
      </c>
      <c r="J24" s="24" t="s">
        <v>256</v>
      </c>
      <c r="K24" s="21"/>
      <c r="L24" s="21"/>
      <c r="M24" s="21"/>
      <c r="N24" s="21"/>
      <c r="O24" s="21"/>
      <c r="P24" s="21"/>
      <c r="Q24" s="21"/>
      <c r="R24" s="21"/>
      <c r="S24" s="21"/>
      <c r="T24" s="21"/>
      <c r="U24" s="21"/>
      <c r="V24" s="21"/>
      <c r="W24" s="21"/>
      <c r="X24" s="21"/>
      <c r="Y24" s="21"/>
      <c r="Z24" s="21"/>
    </row>
    <row r="25" ht="42.75" customHeight="1">
      <c r="A25" s="24" t="s">
        <v>248</v>
      </c>
      <c r="B25" s="24" t="s">
        <v>257</v>
      </c>
      <c r="C25" s="24" t="s">
        <v>250</v>
      </c>
      <c r="D25" s="24" t="s">
        <v>258</v>
      </c>
      <c r="E25" s="24" t="s">
        <v>259</v>
      </c>
      <c r="F25" s="24" t="s">
        <v>260</v>
      </c>
      <c r="G25" s="24" t="s">
        <v>261</v>
      </c>
      <c r="H25" s="25"/>
      <c r="I25" s="24" t="s">
        <v>262</v>
      </c>
      <c r="J25" s="24" t="s">
        <v>263</v>
      </c>
      <c r="K25" s="21"/>
      <c r="L25" s="21"/>
      <c r="M25" s="21"/>
      <c r="N25" s="21"/>
      <c r="O25" s="21"/>
      <c r="P25" s="21"/>
      <c r="Q25" s="21"/>
      <c r="R25" s="21"/>
      <c r="S25" s="21"/>
      <c r="T25" s="21"/>
      <c r="U25" s="21"/>
      <c r="V25" s="21"/>
      <c r="W25" s="21"/>
      <c r="X25" s="21"/>
      <c r="Y25" s="21"/>
      <c r="Z25" s="21"/>
    </row>
    <row r="26" ht="55.5" customHeight="1">
      <c r="A26" s="24" t="s">
        <v>264</v>
      </c>
      <c r="B26" s="24" t="s">
        <v>265</v>
      </c>
      <c r="C26" s="24" t="s">
        <v>84</v>
      </c>
      <c r="D26" s="24" t="s">
        <v>266</v>
      </c>
      <c r="E26" s="24" t="s">
        <v>267</v>
      </c>
      <c r="F26" s="24" t="s">
        <v>268</v>
      </c>
      <c r="G26" s="24" t="s">
        <v>269</v>
      </c>
      <c r="H26" s="25"/>
      <c r="I26" s="24" t="s">
        <v>270</v>
      </c>
      <c r="J26" s="24" t="s">
        <v>271</v>
      </c>
      <c r="K26" s="21"/>
      <c r="L26" s="21"/>
      <c r="M26" s="21"/>
      <c r="N26" s="21"/>
      <c r="O26" s="21"/>
      <c r="P26" s="21"/>
      <c r="Q26" s="21"/>
      <c r="R26" s="21"/>
      <c r="S26" s="21"/>
      <c r="T26" s="21"/>
      <c r="U26" s="21"/>
      <c r="V26" s="21"/>
      <c r="W26" s="21"/>
      <c r="X26" s="21"/>
      <c r="Y26" s="21"/>
      <c r="Z26" s="21"/>
    </row>
    <row r="27" ht="42.75" customHeight="1">
      <c r="A27" s="24" t="s">
        <v>264</v>
      </c>
      <c r="B27" s="24" t="s">
        <v>272</v>
      </c>
      <c r="C27" s="24" t="s">
        <v>84</v>
      </c>
      <c r="D27" s="24" t="s">
        <v>273</v>
      </c>
      <c r="E27" s="24" t="s">
        <v>274</v>
      </c>
      <c r="F27" s="24" t="s">
        <v>275</v>
      </c>
      <c r="G27" s="24" t="s">
        <v>276</v>
      </c>
      <c r="H27" s="25"/>
      <c r="I27" s="24" t="s">
        <v>277</v>
      </c>
      <c r="J27" s="24" t="s">
        <v>278</v>
      </c>
      <c r="K27" s="21"/>
      <c r="L27" s="21"/>
      <c r="M27" s="21"/>
      <c r="N27" s="21"/>
      <c r="O27" s="21"/>
      <c r="P27" s="21"/>
      <c r="Q27" s="21"/>
      <c r="R27" s="21"/>
      <c r="S27" s="21"/>
      <c r="T27" s="21"/>
      <c r="U27" s="21"/>
      <c r="V27" s="21"/>
      <c r="W27" s="21"/>
      <c r="X27" s="21"/>
      <c r="Y27" s="21"/>
      <c r="Z27" s="21"/>
    </row>
    <row r="28" ht="42.75" customHeight="1">
      <c r="A28" s="24" t="s">
        <v>264</v>
      </c>
      <c r="B28" s="24" t="s">
        <v>279</v>
      </c>
      <c r="C28" s="24" t="s">
        <v>84</v>
      </c>
      <c r="D28" s="24" t="s">
        <v>280</v>
      </c>
      <c r="E28" s="24" t="s">
        <v>281</v>
      </c>
      <c r="F28" s="24" t="s">
        <v>282</v>
      </c>
      <c r="G28" s="24" t="s">
        <v>283</v>
      </c>
      <c r="H28" s="25"/>
      <c r="I28" s="24" t="s">
        <v>284</v>
      </c>
      <c r="J28" s="24" t="s">
        <v>285</v>
      </c>
      <c r="K28" s="21"/>
      <c r="L28" s="21"/>
      <c r="M28" s="21"/>
      <c r="N28" s="21"/>
      <c r="O28" s="21"/>
      <c r="P28" s="21"/>
      <c r="Q28" s="21"/>
      <c r="R28" s="21"/>
      <c r="S28" s="21"/>
      <c r="T28" s="21"/>
      <c r="U28" s="21"/>
      <c r="V28" s="21"/>
      <c r="W28" s="21"/>
      <c r="X28" s="21"/>
      <c r="Y28" s="21"/>
      <c r="Z28" s="21"/>
    </row>
    <row r="29" ht="42.75" customHeight="1">
      <c r="A29" s="24" t="s">
        <v>264</v>
      </c>
      <c r="B29" s="24" t="s">
        <v>286</v>
      </c>
      <c r="C29" s="24" t="s">
        <v>84</v>
      </c>
      <c r="D29" s="24" t="s">
        <v>287</v>
      </c>
      <c r="E29" s="24" t="s">
        <v>288</v>
      </c>
      <c r="F29" s="24" t="s">
        <v>289</v>
      </c>
      <c r="G29" s="24" t="s">
        <v>290</v>
      </c>
      <c r="H29" s="24" t="s">
        <v>291</v>
      </c>
      <c r="I29" s="24" t="s">
        <v>292</v>
      </c>
      <c r="J29" s="24" t="s">
        <v>293</v>
      </c>
      <c r="K29" s="21"/>
      <c r="L29" s="21"/>
      <c r="M29" s="21"/>
      <c r="N29" s="21"/>
      <c r="O29" s="21"/>
      <c r="P29" s="21"/>
      <c r="Q29" s="21"/>
      <c r="R29" s="21"/>
      <c r="S29" s="21"/>
      <c r="T29" s="21"/>
      <c r="U29" s="21"/>
      <c r="V29" s="21"/>
      <c r="W29" s="21"/>
      <c r="X29" s="21"/>
      <c r="Y29" s="21"/>
      <c r="Z29" s="21"/>
    </row>
    <row r="30" ht="42.75" customHeight="1">
      <c r="A30" s="24" t="s">
        <v>294</v>
      </c>
      <c r="B30" s="24" t="s">
        <v>295</v>
      </c>
      <c r="C30" s="24" t="s">
        <v>84</v>
      </c>
      <c r="D30" s="24" t="s">
        <v>296</v>
      </c>
      <c r="E30" s="24" t="s">
        <v>297</v>
      </c>
      <c r="F30" s="24" t="s">
        <v>298</v>
      </c>
      <c r="G30" s="24" t="s">
        <v>299</v>
      </c>
      <c r="H30" s="25"/>
      <c r="I30" s="24" t="s">
        <v>300</v>
      </c>
      <c r="J30" s="24" t="s">
        <v>301</v>
      </c>
      <c r="K30" s="21"/>
      <c r="L30" s="21"/>
      <c r="M30" s="21"/>
      <c r="N30" s="21"/>
      <c r="O30" s="21"/>
      <c r="P30" s="21"/>
      <c r="Q30" s="21"/>
      <c r="R30" s="21"/>
      <c r="S30" s="21"/>
      <c r="T30" s="21"/>
      <c r="U30" s="21"/>
      <c r="V30" s="21"/>
      <c r="W30" s="21"/>
      <c r="X30" s="21"/>
      <c r="Y30" s="21"/>
      <c r="Z30" s="21"/>
    </row>
    <row r="31" ht="55.5" customHeight="1">
      <c r="A31" s="24" t="s">
        <v>294</v>
      </c>
      <c r="B31" s="24" t="s">
        <v>302</v>
      </c>
      <c r="C31" s="24" t="s">
        <v>84</v>
      </c>
      <c r="D31" s="24" t="s">
        <v>303</v>
      </c>
      <c r="E31" s="24" t="s">
        <v>304</v>
      </c>
      <c r="F31" s="24" t="s">
        <v>305</v>
      </c>
      <c r="G31" s="24" t="s">
        <v>306</v>
      </c>
      <c r="H31" s="25"/>
      <c r="I31" s="24" t="s">
        <v>307</v>
      </c>
      <c r="J31" s="24" t="s">
        <v>308</v>
      </c>
      <c r="K31" s="21"/>
      <c r="L31" s="21"/>
      <c r="M31" s="21"/>
      <c r="N31" s="21"/>
      <c r="O31" s="21"/>
      <c r="P31" s="21"/>
      <c r="Q31" s="21"/>
      <c r="R31" s="21"/>
      <c r="S31" s="21"/>
      <c r="T31" s="21"/>
      <c r="U31" s="21"/>
      <c r="V31" s="21"/>
      <c r="W31" s="21"/>
      <c r="X31" s="21"/>
      <c r="Y31" s="21"/>
      <c r="Z31" s="21"/>
    </row>
    <row r="32" ht="55.5" customHeight="1">
      <c r="A32" s="24" t="s">
        <v>294</v>
      </c>
      <c r="B32" s="24" t="s">
        <v>309</v>
      </c>
      <c r="C32" s="24" t="s">
        <v>84</v>
      </c>
      <c r="D32" s="24" t="s">
        <v>310</v>
      </c>
      <c r="E32" s="24" t="s">
        <v>311</v>
      </c>
      <c r="F32" s="24" t="s">
        <v>312</v>
      </c>
      <c r="G32" s="24" t="s">
        <v>313</v>
      </c>
      <c r="H32" s="25"/>
      <c r="I32" s="24" t="s">
        <v>314</v>
      </c>
      <c r="J32" s="24" t="s">
        <v>315</v>
      </c>
      <c r="K32" s="21"/>
      <c r="L32" s="21"/>
      <c r="M32" s="21"/>
      <c r="N32" s="21"/>
      <c r="O32" s="21"/>
      <c r="P32" s="21"/>
      <c r="Q32" s="21"/>
      <c r="R32" s="21"/>
      <c r="S32" s="21"/>
      <c r="T32" s="21"/>
      <c r="U32" s="21"/>
      <c r="V32" s="21"/>
      <c r="W32" s="21"/>
      <c r="X32" s="21"/>
      <c r="Y32" s="21"/>
      <c r="Z32" s="21"/>
    </row>
    <row r="33" ht="42.75" customHeight="1">
      <c r="A33" s="24" t="s">
        <v>294</v>
      </c>
      <c r="B33" s="24" t="s">
        <v>316</v>
      </c>
      <c r="C33" s="24" t="s">
        <v>84</v>
      </c>
      <c r="D33" s="24" t="s">
        <v>317</v>
      </c>
      <c r="E33" s="24" t="s">
        <v>318</v>
      </c>
      <c r="F33" s="24" t="s">
        <v>319</v>
      </c>
      <c r="G33" s="24" t="s">
        <v>320</v>
      </c>
      <c r="H33" s="25"/>
      <c r="I33" s="24" t="s">
        <v>321</v>
      </c>
      <c r="J33" s="24" t="s">
        <v>176</v>
      </c>
      <c r="K33" s="21"/>
      <c r="L33" s="21"/>
      <c r="M33" s="21"/>
      <c r="N33" s="21"/>
      <c r="O33" s="21"/>
      <c r="P33" s="21"/>
      <c r="Q33" s="21"/>
      <c r="R33" s="21"/>
      <c r="S33" s="21"/>
      <c r="T33" s="21"/>
      <c r="U33" s="21"/>
      <c r="V33" s="21"/>
      <c r="W33" s="21"/>
      <c r="X33" s="21"/>
      <c r="Y33" s="21"/>
      <c r="Z33" s="21"/>
    </row>
    <row r="34" ht="42.75" customHeight="1">
      <c r="A34" s="24" t="s">
        <v>322</v>
      </c>
      <c r="B34" s="24" t="s">
        <v>323</v>
      </c>
      <c r="C34" s="24" t="s">
        <v>106</v>
      </c>
      <c r="D34" s="24" t="s">
        <v>324</v>
      </c>
      <c r="E34" s="24" t="s">
        <v>325</v>
      </c>
      <c r="F34" s="24" t="s">
        <v>326</v>
      </c>
      <c r="G34" s="24" t="s">
        <v>327</v>
      </c>
      <c r="H34" s="25"/>
      <c r="I34" s="24" t="s">
        <v>328</v>
      </c>
      <c r="J34" s="24" t="s">
        <v>329</v>
      </c>
      <c r="K34" s="21"/>
      <c r="L34" s="21"/>
      <c r="M34" s="21"/>
      <c r="N34" s="21"/>
      <c r="O34" s="21"/>
      <c r="P34" s="21"/>
      <c r="Q34" s="21"/>
      <c r="R34" s="21"/>
      <c r="S34" s="21"/>
      <c r="T34" s="21"/>
      <c r="U34" s="21"/>
      <c r="V34" s="21"/>
      <c r="W34" s="21"/>
      <c r="X34" s="21"/>
      <c r="Y34" s="21"/>
      <c r="Z34" s="21"/>
    </row>
    <row r="35" ht="42.75" customHeight="1">
      <c r="A35" s="24" t="s">
        <v>322</v>
      </c>
      <c r="B35" s="24" t="s">
        <v>330</v>
      </c>
      <c r="C35" s="24" t="s">
        <v>106</v>
      </c>
      <c r="D35" s="24" t="s">
        <v>331</v>
      </c>
      <c r="E35" s="24" t="s">
        <v>332</v>
      </c>
      <c r="F35" s="24" t="s">
        <v>333</v>
      </c>
      <c r="G35" s="24" t="s">
        <v>334</v>
      </c>
      <c r="H35" s="25"/>
      <c r="I35" s="24" t="s">
        <v>335</v>
      </c>
      <c r="J35" s="24" t="s">
        <v>336</v>
      </c>
      <c r="K35" s="21"/>
      <c r="L35" s="21"/>
      <c r="M35" s="21"/>
      <c r="N35" s="21"/>
      <c r="O35" s="21"/>
      <c r="P35" s="21"/>
      <c r="Q35" s="21"/>
      <c r="R35" s="21"/>
      <c r="S35" s="21"/>
      <c r="T35" s="21"/>
      <c r="U35" s="21"/>
      <c r="V35" s="21"/>
      <c r="W35" s="21"/>
      <c r="X35" s="21"/>
      <c r="Y35" s="21"/>
      <c r="Z35" s="21"/>
    </row>
    <row r="36" ht="42.75" customHeight="1">
      <c r="A36" s="24" t="s">
        <v>322</v>
      </c>
      <c r="B36" s="24" t="s">
        <v>337</v>
      </c>
      <c r="C36" s="24" t="s">
        <v>106</v>
      </c>
      <c r="D36" s="24" t="s">
        <v>338</v>
      </c>
      <c r="E36" s="24" t="s">
        <v>339</v>
      </c>
      <c r="F36" s="24" t="s">
        <v>340</v>
      </c>
      <c r="G36" s="24" t="s">
        <v>341</v>
      </c>
      <c r="H36" s="25"/>
      <c r="I36" s="24" t="s">
        <v>342</v>
      </c>
      <c r="J36" s="24" t="s">
        <v>143</v>
      </c>
      <c r="K36" s="21"/>
      <c r="L36" s="21"/>
      <c r="M36" s="21"/>
      <c r="N36" s="21"/>
      <c r="O36" s="21"/>
      <c r="P36" s="21"/>
      <c r="Q36" s="21"/>
      <c r="R36" s="21"/>
      <c r="S36" s="21"/>
      <c r="T36" s="21"/>
      <c r="U36" s="21"/>
      <c r="V36" s="21"/>
      <c r="W36" s="21"/>
      <c r="X36" s="21"/>
      <c r="Y36" s="21"/>
      <c r="Z36" s="21"/>
    </row>
    <row r="37" ht="42.75" customHeight="1">
      <c r="A37" s="24" t="s">
        <v>322</v>
      </c>
      <c r="B37" s="24" t="s">
        <v>343</v>
      </c>
      <c r="C37" s="24" t="s">
        <v>106</v>
      </c>
      <c r="D37" s="24" t="s">
        <v>344</v>
      </c>
      <c r="E37" s="24" t="s">
        <v>345</v>
      </c>
      <c r="F37" s="24" t="s">
        <v>346</v>
      </c>
      <c r="G37" s="24" t="s">
        <v>347</v>
      </c>
      <c r="H37" s="25"/>
      <c r="I37" s="24" t="s">
        <v>348</v>
      </c>
      <c r="J37" s="24" t="s">
        <v>349</v>
      </c>
      <c r="K37" s="21"/>
      <c r="L37" s="21"/>
      <c r="M37" s="21"/>
      <c r="N37" s="21"/>
      <c r="O37" s="21"/>
      <c r="P37" s="21"/>
      <c r="Q37" s="21"/>
      <c r="R37" s="21"/>
      <c r="S37" s="21"/>
      <c r="T37" s="21"/>
      <c r="U37" s="21"/>
      <c r="V37" s="21"/>
      <c r="W37" s="21"/>
      <c r="X37" s="21"/>
      <c r="Y37" s="21"/>
      <c r="Z37" s="21"/>
    </row>
    <row r="38" ht="55.5" customHeight="1">
      <c r="A38" s="24" t="s">
        <v>350</v>
      </c>
      <c r="B38" s="24" t="s">
        <v>351</v>
      </c>
      <c r="C38" s="24" t="s">
        <v>65</v>
      </c>
      <c r="D38" s="24" t="s">
        <v>352</v>
      </c>
      <c r="E38" s="24" t="s">
        <v>353</v>
      </c>
      <c r="F38" s="24" t="s">
        <v>354</v>
      </c>
      <c r="G38" s="24" t="s">
        <v>355</v>
      </c>
      <c r="H38" s="25"/>
      <c r="I38" s="24" t="s">
        <v>356</v>
      </c>
      <c r="J38" s="24" t="s">
        <v>357</v>
      </c>
      <c r="K38" s="21"/>
      <c r="L38" s="21"/>
      <c r="M38" s="21"/>
      <c r="N38" s="21"/>
      <c r="O38" s="21"/>
      <c r="P38" s="21"/>
      <c r="Q38" s="21"/>
      <c r="R38" s="21"/>
      <c r="S38" s="21"/>
      <c r="T38" s="21"/>
      <c r="U38" s="21"/>
      <c r="V38" s="21"/>
      <c r="W38" s="21"/>
      <c r="X38" s="21"/>
      <c r="Y38" s="21"/>
      <c r="Z38" s="21"/>
    </row>
    <row r="39" ht="42.75" customHeight="1">
      <c r="A39" s="24" t="s">
        <v>350</v>
      </c>
      <c r="B39" s="24" t="s">
        <v>358</v>
      </c>
      <c r="C39" s="24" t="s">
        <v>359</v>
      </c>
      <c r="D39" s="24" t="s">
        <v>360</v>
      </c>
      <c r="E39" s="24" t="s">
        <v>361</v>
      </c>
      <c r="F39" s="24" t="s">
        <v>362</v>
      </c>
      <c r="G39" s="24" t="s">
        <v>363</v>
      </c>
      <c r="H39" s="25"/>
      <c r="I39" s="24" t="s">
        <v>364</v>
      </c>
      <c r="J39" s="24" t="s">
        <v>365</v>
      </c>
      <c r="K39" s="21"/>
      <c r="L39" s="21"/>
      <c r="M39" s="21"/>
      <c r="N39" s="21"/>
      <c r="O39" s="21"/>
      <c r="P39" s="21"/>
      <c r="Q39" s="21"/>
      <c r="R39" s="21"/>
      <c r="S39" s="21"/>
      <c r="T39" s="21"/>
      <c r="U39" s="21"/>
      <c r="V39" s="21"/>
      <c r="W39" s="21"/>
      <c r="X39" s="21"/>
      <c r="Y39" s="21"/>
      <c r="Z39" s="21"/>
    </row>
    <row r="40" ht="55.5" customHeight="1">
      <c r="A40" s="24" t="s">
        <v>350</v>
      </c>
      <c r="B40" s="24" t="s">
        <v>366</v>
      </c>
      <c r="C40" s="24" t="s">
        <v>367</v>
      </c>
      <c r="D40" s="24" t="s">
        <v>368</v>
      </c>
      <c r="E40" s="24" t="s">
        <v>369</v>
      </c>
      <c r="F40" s="24" t="s">
        <v>370</v>
      </c>
      <c r="G40" s="24" t="s">
        <v>371</v>
      </c>
      <c r="H40" s="25"/>
      <c r="I40" s="24" t="s">
        <v>372</v>
      </c>
      <c r="J40" s="24" t="s">
        <v>373</v>
      </c>
      <c r="K40" s="21"/>
      <c r="L40" s="21"/>
      <c r="M40" s="21"/>
      <c r="N40" s="21"/>
      <c r="O40" s="21"/>
      <c r="P40" s="21"/>
      <c r="Q40" s="21"/>
      <c r="R40" s="21"/>
      <c r="S40" s="21"/>
      <c r="T40" s="21"/>
      <c r="U40" s="21"/>
      <c r="V40" s="21"/>
      <c r="W40" s="21"/>
      <c r="X40" s="21"/>
      <c r="Y40" s="21"/>
      <c r="Z40" s="21"/>
    </row>
    <row r="41" ht="42.75" customHeight="1">
      <c r="A41" s="24" t="s">
        <v>350</v>
      </c>
      <c r="B41" s="24" t="s">
        <v>374</v>
      </c>
      <c r="C41" s="24" t="s">
        <v>366</v>
      </c>
      <c r="D41" s="24" t="s">
        <v>375</v>
      </c>
      <c r="E41" s="24" t="s">
        <v>376</v>
      </c>
      <c r="F41" s="24" t="s">
        <v>377</v>
      </c>
      <c r="G41" s="24" t="s">
        <v>378</v>
      </c>
      <c r="H41" s="25"/>
      <c r="I41" s="24" t="s">
        <v>379</v>
      </c>
      <c r="J41" s="24" t="s">
        <v>380</v>
      </c>
      <c r="K41" s="21"/>
      <c r="L41" s="21"/>
      <c r="M41" s="21"/>
      <c r="N41" s="21"/>
      <c r="O41" s="21"/>
      <c r="P41" s="21"/>
      <c r="Q41" s="21"/>
      <c r="R41" s="21"/>
      <c r="S41" s="21"/>
      <c r="T41" s="21"/>
      <c r="U41" s="21"/>
      <c r="V41" s="21"/>
      <c r="W41" s="21"/>
      <c r="X41" s="21"/>
      <c r="Y41" s="21"/>
      <c r="Z41" s="21"/>
    </row>
    <row r="42" ht="42.75" customHeight="1">
      <c r="A42" s="24" t="s">
        <v>381</v>
      </c>
      <c r="B42" s="24" t="s">
        <v>382</v>
      </c>
      <c r="C42" s="24" t="s">
        <v>383</v>
      </c>
      <c r="D42" s="24" t="s">
        <v>384</v>
      </c>
      <c r="E42" s="24" t="s">
        <v>385</v>
      </c>
      <c r="F42" s="24" t="s">
        <v>386</v>
      </c>
      <c r="G42" s="24" t="s">
        <v>387</v>
      </c>
      <c r="H42" s="25"/>
      <c r="I42" s="24" t="s">
        <v>388</v>
      </c>
      <c r="J42" s="24" t="s">
        <v>389</v>
      </c>
      <c r="K42" s="21"/>
      <c r="L42" s="21"/>
      <c r="M42" s="21"/>
      <c r="N42" s="21"/>
      <c r="O42" s="21"/>
      <c r="P42" s="21"/>
      <c r="Q42" s="21"/>
      <c r="R42" s="21"/>
      <c r="S42" s="21"/>
      <c r="T42" s="21"/>
      <c r="U42" s="21"/>
      <c r="V42" s="21"/>
      <c r="W42" s="21"/>
      <c r="X42" s="21"/>
      <c r="Y42" s="21"/>
      <c r="Z42" s="21"/>
    </row>
    <row r="43" ht="42.75" customHeight="1">
      <c r="A43" s="24" t="s">
        <v>381</v>
      </c>
      <c r="B43" s="24" t="s">
        <v>390</v>
      </c>
      <c r="C43" s="24" t="s">
        <v>391</v>
      </c>
      <c r="D43" s="24" t="s">
        <v>392</v>
      </c>
      <c r="E43" s="24" t="s">
        <v>393</v>
      </c>
      <c r="F43" s="24" t="s">
        <v>394</v>
      </c>
      <c r="G43" s="26" t="s">
        <v>395</v>
      </c>
      <c r="H43" s="25"/>
      <c r="I43" s="24" t="s">
        <v>396</v>
      </c>
      <c r="J43" s="24" t="s">
        <v>397</v>
      </c>
      <c r="K43" s="21"/>
      <c r="L43" s="21"/>
      <c r="M43" s="21"/>
      <c r="N43" s="21"/>
      <c r="O43" s="21"/>
      <c r="P43" s="21"/>
      <c r="Q43" s="21"/>
      <c r="R43" s="21"/>
      <c r="S43" s="21"/>
      <c r="T43" s="21"/>
      <c r="U43" s="21"/>
      <c r="V43" s="21"/>
      <c r="W43" s="21"/>
      <c r="X43" s="21"/>
      <c r="Y43" s="21"/>
      <c r="Z43" s="21"/>
    </row>
    <row r="44" ht="30.0" customHeight="1">
      <c r="A44" s="24" t="s">
        <v>381</v>
      </c>
      <c r="B44" s="24" t="s">
        <v>398</v>
      </c>
      <c r="C44" s="24" t="s">
        <v>399</v>
      </c>
      <c r="D44" s="24" t="s">
        <v>400</v>
      </c>
      <c r="E44" s="24" t="s">
        <v>401</v>
      </c>
      <c r="F44" s="24" t="s">
        <v>402</v>
      </c>
      <c r="G44" s="26" t="s">
        <v>403</v>
      </c>
      <c r="H44" s="25"/>
      <c r="I44" s="24" t="s">
        <v>404</v>
      </c>
      <c r="J44" s="24" t="s">
        <v>405</v>
      </c>
      <c r="K44" s="21"/>
      <c r="L44" s="21"/>
      <c r="M44" s="21"/>
      <c r="N44" s="21"/>
      <c r="O44" s="21"/>
      <c r="P44" s="21"/>
      <c r="Q44" s="21"/>
      <c r="R44" s="21"/>
      <c r="S44" s="21"/>
      <c r="T44" s="21"/>
      <c r="U44" s="21"/>
      <c r="V44" s="21"/>
      <c r="W44" s="21"/>
      <c r="X44" s="21"/>
      <c r="Y44" s="21"/>
      <c r="Z44" s="21"/>
    </row>
    <row r="45" ht="69.0" customHeight="1">
      <c r="A45" s="24" t="s">
        <v>406</v>
      </c>
      <c r="B45" s="24" t="s">
        <v>407</v>
      </c>
      <c r="C45" s="24" t="s">
        <v>408</v>
      </c>
      <c r="D45" s="26" t="s">
        <v>409</v>
      </c>
      <c r="E45" s="24" t="s">
        <v>410</v>
      </c>
      <c r="F45" s="24" t="s">
        <v>411</v>
      </c>
      <c r="G45" s="26" t="s">
        <v>412</v>
      </c>
      <c r="H45" s="25"/>
      <c r="I45" s="24" t="s">
        <v>404</v>
      </c>
      <c r="J45" s="24" t="s">
        <v>408</v>
      </c>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2">
    <mergeCell ref="A1:J1"/>
    <mergeCell ref="A2:J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43"/>
    <col customWidth="1" min="2" max="2" width="29.71"/>
    <col customWidth="1" min="3" max="3" width="23.43"/>
    <col customWidth="1" min="4" max="4" width="36.0"/>
    <col customWidth="1" min="5" max="5" width="39.57"/>
    <col customWidth="1" min="7" max="7" width="52.0"/>
    <col customWidth="1" min="8" max="8" width="33.86"/>
  </cols>
  <sheetData>
    <row r="1">
      <c r="A1" s="27" t="s">
        <v>413</v>
      </c>
      <c r="B1" s="13"/>
      <c r="C1" s="13"/>
      <c r="D1" s="13"/>
      <c r="E1" s="13"/>
      <c r="F1" s="13"/>
      <c r="G1" s="13"/>
      <c r="H1" s="14"/>
      <c r="I1" s="21"/>
      <c r="J1" s="21"/>
      <c r="K1" s="21"/>
      <c r="L1" s="21"/>
      <c r="M1" s="21"/>
      <c r="N1" s="21"/>
      <c r="O1" s="21"/>
      <c r="P1" s="21"/>
      <c r="Q1" s="21"/>
      <c r="R1" s="21"/>
      <c r="S1" s="21"/>
      <c r="T1" s="21"/>
      <c r="U1" s="21"/>
      <c r="V1" s="21"/>
      <c r="W1" s="21"/>
      <c r="X1" s="21"/>
      <c r="Y1" s="21"/>
      <c r="Z1" s="21"/>
    </row>
    <row r="2">
      <c r="A2" s="28" t="s">
        <v>414</v>
      </c>
      <c r="B2" s="13"/>
      <c r="C2" s="13"/>
      <c r="D2" s="13"/>
      <c r="E2" s="13"/>
      <c r="F2" s="13"/>
      <c r="G2" s="13"/>
      <c r="H2" s="14"/>
      <c r="I2" s="21"/>
      <c r="J2" s="21"/>
      <c r="K2" s="21"/>
      <c r="L2" s="21"/>
      <c r="M2" s="21"/>
      <c r="N2" s="21"/>
      <c r="O2" s="21"/>
      <c r="P2" s="21"/>
      <c r="Q2" s="21"/>
      <c r="R2" s="21"/>
      <c r="S2" s="21"/>
      <c r="T2" s="21"/>
      <c r="U2" s="21"/>
      <c r="V2" s="21"/>
      <c r="W2" s="21"/>
      <c r="X2" s="21"/>
      <c r="Y2" s="21"/>
      <c r="Z2" s="21"/>
    </row>
    <row r="3">
      <c r="A3" s="29" t="s">
        <v>415</v>
      </c>
      <c r="B3" s="29" t="s">
        <v>416</v>
      </c>
      <c r="C3" s="29" t="s">
        <v>417</v>
      </c>
      <c r="D3" s="29" t="s">
        <v>418</v>
      </c>
      <c r="E3" s="29" t="s">
        <v>419</v>
      </c>
      <c r="F3" s="29" t="s">
        <v>420</v>
      </c>
      <c r="G3" s="17" t="s">
        <v>421</v>
      </c>
      <c r="H3" s="29" t="s">
        <v>422</v>
      </c>
      <c r="I3" s="21"/>
      <c r="J3" s="21"/>
      <c r="K3" s="21"/>
      <c r="L3" s="21"/>
      <c r="M3" s="21"/>
      <c r="N3" s="21"/>
      <c r="O3" s="21"/>
      <c r="P3" s="21"/>
      <c r="Q3" s="21"/>
      <c r="R3" s="21"/>
      <c r="S3" s="21"/>
      <c r="T3" s="21"/>
      <c r="U3" s="21"/>
      <c r="V3" s="21"/>
      <c r="W3" s="21"/>
      <c r="X3" s="21"/>
      <c r="Y3" s="21"/>
      <c r="Z3" s="21"/>
    </row>
    <row r="4">
      <c r="A4" s="30">
        <v>1.0</v>
      </c>
      <c r="B4" s="31" t="s">
        <v>423</v>
      </c>
      <c r="C4" s="31" t="s">
        <v>424</v>
      </c>
      <c r="D4" s="31" t="s">
        <v>425</v>
      </c>
      <c r="E4" s="32" t="s">
        <v>426</v>
      </c>
      <c r="F4" s="31" t="s">
        <v>427</v>
      </c>
      <c r="G4" s="32" t="s">
        <v>428</v>
      </c>
      <c r="H4" s="33" t="str">
        <f>HYPERLINK("https://www.data.gov.in/catalog/all-india-pincode-directory-through-webservice")</f>
        <v>https://www.data.gov.in/catalog/all-india-pincode-directory-through-webservice</v>
      </c>
      <c r="I4" s="21"/>
      <c r="J4" s="21"/>
      <c r="K4" s="21"/>
      <c r="L4" s="21"/>
      <c r="M4" s="21"/>
      <c r="N4" s="21"/>
      <c r="O4" s="21"/>
      <c r="P4" s="21"/>
      <c r="Q4" s="21"/>
      <c r="R4" s="21"/>
      <c r="S4" s="21"/>
      <c r="T4" s="21"/>
      <c r="U4" s="21"/>
      <c r="V4" s="21"/>
      <c r="W4" s="21"/>
      <c r="X4" s="21"/>
      <c r="Y4" s="21"/>
      <c r="Z4" s="21"/>
    </row>
    <row r="5">
      <c r="A5" s="30">
        <v>2.0</v>
      </c>
      <c r="B5" s="31" t="s">
        <v>429</v>
      </c>
      <c r="C5" s="31" t="s">
        <v>430</v>
      </c>
      <c r="D5" s="31" t="s">
        <v>431</v>
      </c>
      <c r="E5" s="32" t="s">
        <v>432</v>
      </c>
      <c r="F5" s="31" t="s">
        <v>433</v>
      </c>
      <c r="G5" s="31" t="s">
        <v>434</v>
      </c>
      <c r="H5" s="34" t="str">
        <f>HYPERLINK("https://api.postalpincode.in/pincode/560001")</f>
        <v>https://api.postalpincode.in/pincode/560001</v>
      </c>
      <c r="I5" s="21"/>
      <c r="J5" s="21"/>
      <c r="K5" s="21"/>
      <c r="L5" s="21"/>
      <c r="M5" s="21"/>
      <c r="N5" s="21"/>
      <c r="O5" s="21"/>
      <c r="P5" s="21"/>
      <c r="Q5" s="21"/>
      <c r="R5" s="21"/>
      <c r="S5" s="21"/>
      <c r="T5" s="21"/>
      <c r="U5" s="21"/>
      <c r="V5" s="21"/>
      <c r="W5" s="21"/>
      <c r="X5" s="21"/>
      <c r="Y5" s="21"/>
      <c r="Z5" s="21"/>
    </row>
    <row r="6" ht="49.5" customHeight="1">
      <c r="A6" s="30">
        <v>3.0</v>
      </c>
      <c r="B6" s="31" t="s">
        <v>435</v>
      </c>
      <c r="C6" s="31" t="s">
        <v>436</v>
      </c>
      <c r="D6" s="31" t="s">
        <v>437</v>
      </c>
      <c r="E6" s="31" t="s">
        <v>438</v>
      </c>
      <c r="F6" s="31" t="s">
        <v>433</v>
      </c>
      <c r="G6" s="31" t="s">
        <v>439</v>
      </c>
      <c r="H6" s="34" t="str">
        <f>HYPERLINK("https://www.indiapost.gov.in/vas/pages/findpincode.aspx")</f>
        <v>https://www.indiapost.gov.in/vas/pages/findpincode.aspx</v>
      </c>
      <c r="I6" s="21"/>
      <c r="J6" s="21"/>
      <c r="K6" s="21"/>
      <c r="L6" s="21"/>
      <c r="M6" s="21"/>
      <c r="N6" s="21"/>
      <c r="O6" s="21"/>
      <c r="P6" s="21"/>
      <c r="Q6" s="21"/>
      <c r="R6" s="21"/>
      <c r="S6" s="21"/>
      <c r="T6" s="21"/>
      <c r="U6" s="21"/>
      <c r="V6" s="21"/>
      <c r="W6" s="21"/>
      <c r="X6" s="21"/>
      <c r="Y6" s="21"/>
      <c r="Z6" s="21"/>
    </row>
    <row r="7">
      <c r="A7" s="30">
        <v>4.0</v>
      </c>
      <c r="B7" s="31" t="s">
        <v>440</v>
      </c>
      <c r="C7" s="31" t="s">
        <v>441</v>
      </c>
      <c r="D7" s="31" t="s">
        <v>442</v>
      </c>
      <c r="E7" s="31" t="s">
        <v>443</v>
      </c>
      <c r="F7" s="31" t="s">
        <v>444</v>
      </c>
      <c r="G7" s="31" t="s">
        <v>445</v>
      </c>
      <c r="H7" s="33" t="str">
        <f>HYPERLINK("https://operations.osmfoundation.org/policies/nominatim/")</f>
        <v>https://operations.osmfoundation.org/policies/nominatim/</v>
      </c>
      <c r="I7" s="21"/>
      <c r="J7" s="21"/>
      <c r="K7" s="21"/>
      <c r="L7" s="21"/>
      <c r="M7" s="21"/>
      <c r="N7" s="21"/>
      <c r="O7" s="21"/>
      <c r="P7" s="21"/>
      <c r="Q7" s="21"/>
      <c r="R7" s="21"/>
      <c r="S7" s="21"/>
      <c r="T7" s="21"/>
      <c r="U7" s="21"/>
      <c r="V7" s="21"/>
      <c r="W7" s="21"/>
      <c r="X7" s="21"/>
      <c r="Y7" s="21"/>
      <c r="Z7" s="21"/>
    </row>
    <row r="8">
      <c r="A8" s="30">
        <v>5.0</v>
      </c>
      <c r="B8" s="31" t="s">
        <v>446</v>
      </c>
      <c r="C8" s="31" t="s">
        <v>447</v>
      </c>
      <c r="D8" s="31" t="s">
        <v>448</v>
      </c>
      <c r="E8" s="31" t="s">
        <v>449</v>
      </c>
      <c r="F8" s="31" t="s">
        <v>450</v>
      </c>
      <c r="G8" s="31" t="s">
        <v>451</v>
      </c>
      <c r="H8" s="33" t="str">
        <f>HYPERLINK("https://www.geoapify.com/geocoding-api/")</f>
        <v>https://www.geoapify.com/geocoding-api/</v>
      </c>
      <c r="I8" s="21"/>
      <c r="J8" s="21"/>
      <c r="K8" s="21"/>
      <c r="L8" s="21"/>
      <c r="M8" s="21"/>
      <c r="N8" s="21"/>
      <c r="O8" s="21"/>
      <c r="P8" s="21"/>
      <c r="Q8" s="21"/>
      <c r="R8" s="21"/>
      <c r="S8" s="21"/>
      <c r="T8" s="21"/>
      <c r="U8" s="21"/>
      <c r="V8" s="21"/>
      <c r="W8" s="21"/>
      <c r="X8" s="21"/>
      <c r="Y8" s="21"/>
      <c r="Z8" s="21"/>
    </row>
    <row r="9">
      <c r="A9" s="30">
        <v>6.0</v>
      </c>
      <c r="B9" s="31" t="s">
        <v>452</v>
      </c>
      <c r="C9" s="31" t="s">
        <v>453</v>
      </c>
      <c r="D9" s="31" t="s">
        <v>454</v>
      </c>
      <c r="E9" s="31" t="s">
        <v>455</v>
      </c>
      <c r="F9" s="31" t="s">
        <v>456</v>
      </c>
      <c r="G9" s="31" t="s">
        <v>457</v>
      </c>
      <c r="H9" s="33" t="str">
        <f>HYPERLINK("https://opencagedata.com/api")</f>
        <v>https://opencagedata.com/api</v>
      </c>
      <c r="I9" s="21"/>
      <c r="J9" s="21"/>
      <c r="K9" s="21"/>
      <c r="L9" s="21"/>
      <c r="M9" s="21"/>
      <c r="N9" s="21"/>
      <c r="O9" s="21"/>
      <c r="P9" s="21"/>
      <c r="Q9" s="21"/>
      <c r="R9" s="21"/>
      <c r="S9" s="21"/>
      <c r="T9" s="21"/>
      <c r="U9" s="21"/>
      <c r="V9" s="21"/>
      <c r="W9" s="21"/>
      <c r="X9" s="21"/>
      <c r="Y9" s="21"/>
      <c r="Z9" s="21"/>
    </row>
    <row r="10">
      <c r="A10" s="30">
        <v>7.0</v>
      </c>
      <c r="B10" s="31" t="s">
        <v>458</v>
      </c>
      <c r="C10" s="31" t="s">
        <v>459</v>
      </c>
      <c r="D10" s="31" t="s">
        <v>460</v>
      </c>
      <c r="E10" s="31" t="s">
        <v>461</v>
      </c>
      <c r="F10" s="31" t="s">
        <v>462</v>
      </c>
      <c r="G10" s="31" t="s">
        <v>463</v>
      </c>
      <c r="H10" s="33" t="str">
        <f>HYPERLINK("https://developers.google.com/maps/documentation/geocoding")</f>
        <v>https://developers.google.com/maps/documentation/geocoding</v>
      </c>
      <c r="I10" s="21"/>
      <c r="J10" s="21"/>
      <c r="K10" s="21"/>
      <c r="L10" s="21"/>
      <c r="M10" s="21"/>
      <c r="N10" s="21"/>
      <c r="O10" s="21"/>
      <c r="P10" s="21"/>
      <c r="Q10" s="21"/>
      <c r="R10" s="21"/>
      <c r="S10" s="21"/>
      <c r="T10" s="21"/>
      <c r="U10" s="21"/>
      <c r="V10" s="21"/>
      <c r="W10" s="21"/>
      <c r="X10" s="21"/>
      <c r="Y10" s="21"/>
      <c r="Z10" s="21"/>
    </row>
    <row r="11">
      <c r="A11" s="30">
        <v>8.0</v>
      </c>
      <c r="B11" s="31" t="s">
        <v>464</v>
      </c>
      <c r="C11" s="31" t="s">
        <v>465</v>
      </c>
      <c r="D11" s="31" t="s">
        <v>466</v>
      </c>
      <c r="E11" s="31" t="s">
        <v>467</v>
      </c>
      <c r="F11" s="31" t="s">
        <v>433</v>
      </c>
      <c r="G11" s="31" t="s">
        <v>468</v>
      </c>
      <c r="H11" s="33" t="str">
        <f>HYPERLINK("https://overpass-api.de/")</f>
        <v>https://overpass-api.de/</v>
      </c>
      <c r="I11" s="21"/>
      <c r="J11" s="21"/>
      <c r="K11" s="21"/>
      <c r="L11" s="21"/>
      <c r="M11" s="21"/>
      <c r="N11" s="21"/>
      <c r="O11" s="21"/>
      <c r="P11" s="21"/>
      <c r="Q11" s="21"/>
      <c r="R11" s="21"/>
      <c r="S11" s="21"/>
      <c r="T11" s="21"/>
      <c r="U11" s="21"/>
      <c r="V11" s="21"/>
      <c r="W11" s="21"/>
      <c r="X11" s="21"/>
      <c r="Y11" s="21"/>
      <c r="Z11" s="21"/>
    </row>
    <row r="12">
      <c r="A12" s="30">
        <v>9.0</v>
      </c>
      <c r="B12" s="31" t="s">
        <v>469</v>
      </c>
      <c r="C12" s="31" t="s">
        <v>470</v>
      </c>
      <c r="D12" s="31" t="s">
        <v>471</v>
      </c>
      <c r="E12" s="31" t="s">
        <v>472</v>
      </c>
      <c r="F12" s="31" t="s">
        <v>473</v>
      </c>
      <c r="G12" s="31" t="s">
        <v>474</v>
      </c>
      <c r="H12" s="33" t="str">
        <f>HYPERLINK("https://download.geofabrik.de/asia/india.html")</f>
        <v>https://download.geofabrik.de/asia/india.html</v>
      </c>
      <c r="I12" s="21"/>
      <c r="J12" s="21"/>
      <c r="K12" s="21"/>
      <c r="L12" s="21"/>
      <c r="M12" s="21"/>
      <c r="N12" s="21"/>
      <c r="O12" s="21"/>
      <c r="P12" s="21"/>
      <c r="Q12" s="21"/>
      <c r="R12" s="21"/>
      <c r="S12" s="21"/>
      <c r="T12" s="21"/>
      <c r="U12" s="21"/>
      <c r="V12" s="21"/>
      <c r="W12" s="21"/>
      <c r="X12" s="21"/>
      <c r="Y12" s="21"/>
      <c r="Z12" s="21"/>
    </row>
    <row r="13">
      <c r="A13" s="30">
        <v>10.0</v>
      </c>
      <c r="B13" s="31" t="s">
        <v>475</v>
      </c>
      <c r="C13" s="31" t="s">
        <v>476</v>
      </c>
      <c r="D13" s="31" t="s">
        <v>477</v>
      </c>
      <c r="E13" s="31" t="s">
        <v>478</v>
      </c>
      <c r="F13" s="31" t="s">
        <v>433</v>
      </c>
      <c r="G13" s="31" t="s">
        <v>479</v>
      </c>
      <c r="H13" s="33" t="str">
        <f>HYPERLINK("https://github.com/datameet/maps")</f>
        <v>https://github.com/datameet/maps</v>
      </c>
      <c r="I13" s="21"/>
      <c r="J13" s="21"/>
      <c r="K13" s="21"/>
      <c r="L13" s="21"/>
      <c r="M13" s="21"/>
      <c r="N13" s="21"/>
      <c r="O13" s="21"/>
      <c r="P13" s="21"/>
      <c r="Q13" s="21"/>
      <c r="R13" s="21"/>
      <c r="S13" s="21"/>
      <c r="T13" s="21"/>
      <c r="U13" s="21"/>
      <c r="V13" s="21"/>
      <c r="W13" s="21"/>
      <c r="X13" s="21"/>
      <c r="Y13" s="21"/>
      <c r="Z13" s="21"/>
    </row>
    <row r="14">
      <c r="A14" s="30">
        <v>11.0</v>
      </c>
      <c r="B14" s="31" t="s">
        <v>480</v>
      </c>
      <c r="C14" s="31" t="s">
        <v>481</v>
      </c>
      <c r="D14" s="31" t="s">
        <v>482</v>
      </c>
      <c r="E14" s="31" t="s">
        <v>483</v>
      </c>
      <c r="F14" s="31" t="s">
        <v>433</v>
      </c>
      <c r="G14" s="31" t="s">
        <v>484</v>
      </c>
      <c r="H14" s="33" t="str">
        <f>HYPERLINK("https://censusindia.gov.in/")</f>
        <v>https://censusindia.gov.in/</v>
      </c>
      <c r="I14" s="21"/>
      <c r="J14" s="21"/>
      <c r="K14" s="21"/>
      <c r="L14" s="21"/>
      <c r="M14" s="21"/>
      <c r="N14" s="21"/>
      <c r="O14" s="21"/>
      <c r="P14" s="21"/>
      <c r="Q14" s="21"/>
      <c r="R14" s="21"/>
      <c r="S14" s="21"/>
      <c r="T14" s="21"/>
      <c r="U14" s="21"/>
      <c r="V14" s="21"/>
      <c r="W14" s="21"/>
      <c r="X14" s="21"/>
      <c r="Y14" s="21"/>
      <c r="Z14" s="21"/>
    </row>
    <row r="15">
      <c r="A15" s="30">
        <v>12.0</v>
      </c>
      <c r="B15" s="31" t="s">
        <v>485</v>
      </c>
      <c r="C15" s="31" t="s">
        <v>486</v>
      </c>
      <c r="D15" s="31" t="s">
        <v>487</v>
      </c>
      <c r="E15" s="31" t="s">
        <v>488</v>
      </c>
      <c r="F15" s="31" t="s">
        <v>489</v>
      </c>
      <c r="G15" s="31" t="s">
        <v>490</v>
      </c>
      <c r="H15" s="33" t="str">
        <f>HYPERLINK("https://bhuvan.nrsc.gov.in/")</f>
        <v>https://bhuvan.nrsc.gov.in/</v>
      </c>
      <c r="I15" s="21"/>
      <c r="J15" s="21"/>
      <c r="K15" s="21"/>
      <c r="L15" s="21"/>
      <c r="M15" s="21"/>
      <c r="N15" s="21"/>
      <c r="O15" s="21"/>
      <c r="P15" s="21"/>
      <c r="Q15" s="21"/>
      <c r="R15" s="21"/>
      <c r="S15" s="21"/>
      <c r="T15" s="21"/>
      <c r="U15" s="21"/>
      <c r="V15" s="21"/>
      <c r="W15" s="21"/>
      <c r="X15" s="21"/>
      <c r="Y15" s="21"/>
      <c r="Z15" s="21"/>
    </row>
    <row r="16">
      <c r="A16" s="30">
        <v>13.0</v>
      </c>
      <c r="B16" s="31" t="s">
        <v>491</v>
      </c>
      <c r="C16" s="31" t="s">
        <v>492</v>
      </c>
      <c r="D16" s="31" t="s">
        <v>493</v>
      </c>
      <c r="E16" s="31" t="s">
        <v>494</v>
      </c>
      <c r="F16" s="31" t="s">
        <v>495</v>
      </c>
      <c r="G16" s="31" t="s">
        <v>496</v>
      </c>
      <c r="H16" s="33" t="str">
        <f>HYPERLINK("https://gadm.org/download_country.html")</f>
        <v>https://gadm.org/download_country.html</v>
      </c>
      <c r="I16" s="21"/>
      <c r="J16" s="21"/>
      <c r="K16" s="21"/>
      <c r="L16" s="21"/>
      <c r="M16" s="21"/>
      <c r="N16" s="21"/>
      <c r="O16" s="21"/>
      <c r="P16" s="21"/>
      <c r="Q16" s="21"/>
      <c r="R16" s="21"/>
      <c r="S16" s="21"/>
      <c r="T16" s="21"/>
      <c r="U16" s="21"/>
      <c r="V16" s="21"/>
      <c r="W16" s="21"/>
      <c r="X16" s="21"/>
      <c r="Y16" s="21"/>
      <c r="Z16" s="21"/>
    </row>
    <row r="17">
      <c r="A17" s="30">
        <v>14.0</v>
      </c>
      <c r="B17" s="31" t="s">
        <v>497</v>
      </c>
      <c r="C17" s="31" t="s">
        <v>128</v>
      </c>
      <c r="D17" s="31" t="s">
        <v>498</v>
      </c>
      <c r="E17" s="31" t="s">
        <v>499</v>
      </c>
      <c r="F17" s="31" t="s">
        <v>500</v>
      </c>
      <c r="G17" s="31" t="s">
        <v>501</v>
      </c>
      <c r="H17" s="33" t="str">
        <f>HYPERLINK("https://ip-api.com/docs/api:json")</f>
        <v>https://ip-api.com/docs/api:json</v>
      </c>
      <c r="I17" s="21"/>
      <c r="J17" s="21"/>
      <c r="K17" s="21"/>
      <c r="L17" s="21"/>
      <c r="M17" s="21"/>
      <c r="N17" s="21"/>
      <c r="O17" s="21"/>
      <c r="P17" s="21"/>
      <c r="Q17" s="21"/>
      <c r="R17" s="21"/>
      <c r="S17" s="21"/>
      <c r="T17" s="21"/>
      <c r="U17" s="21"/>
      <c r="V17" s="21"/>
      <c r="W17" s="21"/>
      <c r="X17" s="21"/>
      <c r="Y17" s="21"/>
      <c r="Z17" s="21"/>
    </row>
    <row r="18">
      <c r="A18" s="30">
        <v>15.0</v>
      </c>
      <c r="B18" s="31" t="s">
        <v>502</v>
      </c>
      <c r="C18" s="31" t="s">
        <v>503</v>
      </c>
      <c r="D18" s="31" t="s">
        <v>504</v>
      </c>
      <c r="E18" s="31" t="s">
        <v>505</v>
      </c>
      <c r="F18" s="31" t="s">
        <v>506</v>
      </c>
      <c r="G18" s="31" t="s">
        <v>507</v>
      </c>
      <c r="H18" s="33" t="str">
        <f>HYPERLINK("https://dev.maxmind.com/geoip/docs/databases/city-and-country/")</f>
        <v>https://dev.maxmind.com/geoip/docs/databases/city-and-country/</v>
      </c>
      <c r="I18" s="21"/>
      <c r="J18" s="21"/>
      <c r="K18" s="21"/>
      <c r="L18" s="21"/>
      <c r="M18" s="21"/>
      <c r="N18" s="21"/>
      <c r="O18" s="21"/>
      <c r="P18" s="21"/>
      <c r="Q18" s="21"/>
      <c r="R18" s="21"/>
      <c r="S18" s="21"/>
      <c r="T18" s="21"/>
      <c r="U18" s="21"/>
      <c r="V18" s="21"/>
      <c r="W18" s="21"/>
      <c r="X18" s="21"/>
      <c r="Y18" s="21"/>
      <c r="Z18" s="21"/>
    </row>
    <row r="19">
      <c r="A19" s="30">
        <v>16.0</v>
      </c>
      <c r="B19" s="31" t="s">
        <v>508</v>
      </c>
      <c r="C19" s="31" t="s">
        <v>509</v>
      </c>
      <c r="D19" s="31" t="s">
        <v>510</v>
      </c>
      <c r="E19" s="31" t="s">
        <v>511</v>
      </c>
      <c r="F19" s="31" t="s">
        <v>512</v>
      </c>
      <c r="G19" s="31" t="s">
        <v>513</v>
      </c>
      <c r="H19" s="33" t="str">
        <f>HYPERLINK("https://ipinfo.io/developers/lite-api")</f>
        <v>https://ipinfo.io/developers/lite-api</v>
      </c>
      <c r="I19" s="21"/>
      <c r="J19" s="21"/>
      <c r="K19" s="21"/>
      <c r="L19" s="21"/>
      <c r="M19" s="21"/>
      <c r="N19" s="21"/>
      <c r="O19" s="21"/>
      <c r="P19" s="21"/>
      <c r="Q19" s="21"/>
      <c r="R19" s="21"/>
      <c r="S19" s="21"/>
      <c r="T19" s="21"/>
      <c r="U19" s="21"/>
      <c r="V19" s="21"/>
      <c r="W19" s="21"/>
      <c r="X19" s="21"/>
      <c r="Y19" s="21"/>
      <c r="Z19" s="21"/>
    </row>
    <row r="20">
      <c r="A20" s="30">
        <v>17.0</v>
      </c>
      <c r="B20" s="31" t="s">
        <v>514</v>
      </c>
      <c r="C20" s="31" t="s">
        <v>515</v>
      </c>
      <c r="D20" s="31" t="s">
        <v>516</v>
      </c>
      <c r="E20" s="31" t="s">
        <v>517</v>
      </c>
      <c r="F20" s="31" t="s">
        <v>518</v>
      </c>
      <c r="G20" s="31" t="s">
        <v>519</v>
      </c>
      <c r="H20" s="33" t="str">
        <f>HYPERLINK("https://ipinfo.io/developers")</f>
        <v>https://ipinfo.io/developers</v>
      </c>
      <c r="I20" s="21"/>
      <c r="J20" s="21"/>
      <c r="K20" s="21"/>
      <c r="L20" s="21"/>
      <c r="M20" s="21"/>
      <c r="N20" s="21"/>
      <c r="O20" s="21"/>
      <c r="P20" s="21"/>
      <c r="Q20" s="21"/>
      <c r="R20" s="21"/>
      <c r="S20" s="21"/>
      <c r="T20" s="21"/>
      <c r="U20" s="21"/>
      <c r="V20" s="21"/>
      <c r="W20" s="21"/>
      <c r="X20" s="21"/>
      <c r="Y20" s="21"/>
      <c r="Z20" s="21"/>
    </row>
    <row r="21">
      <c r="A21" s="30">
        <v>18.0</v>
      </c>
      <c r="B21" s="31" t="s">
        <v>520</v>
      </c>
      <c r="C21" s="31" t="s">
        <v>521</v>
      </c>
      <c r="D21" s="31" t="s">
        <v>522</v>
      </c>
      <c r="E21" s="31" t="s">
        <v>523</v>
      </c>
      <c r="F21" s="31" t="s">
        <v>433</v>
      </c>
      <c r="G21" s="31" t="s">
        <v>524</v>
      </c>
      <c r="H21" s="33" t="str">
        <f>HYPERLINK("https://db-ip.com/db/download/ip-to-city-lite")</f>
        <v>https://db-ip.com/db/download/ip-to-city-lite</v>
      </c>
      <c r="I21" s="21"/>
      <c r="J21" s="21"/>
      <c r="K21" s="21"/>
      <c r="L21" s="21"/>
      <c r="M21" s="21"/>
      <c r="N21" s="21"/>
      <c r="O21" s="21"/>
      <c r="P21" s="21"/>
      <c r="Q21" s="21"/>
      <c r="R21" s="21"/>
      <c r="S21" s="21"/>
      <c r="T21" s="21"/>
      <c r="U21" s="21"/>
      <c r="V21" s="21"/>
      <c r="W21" s="21"/>
      <c r="X21" s="21"/>
      <c r="Y21" s="21"/>
      <c r="Z21" s="21"/>
    </row>
    <row r="22">
      <c r="A22" s="30">
        <v>19.0</v>
      </c>
      <c r="B22" s="31" t="s">
        <v>525</v>
      </c>
      <c r="C22" s="31" t="s">
        <v>521</v>
      </c>
      <c r="D22" s="31" t="s">
        <v>526</v>
      </c>
      <c r="E22" s="31" t="s">
        <v>527</v>
      </c>
      <c r="F22" s="31" t="s">
        <v>433</v>
      </c>
      <c r="G22" s="31" t="s">
        <v>528</v>
      </c>
      <c r="H22" s="33" t="str">
        <f>HYPERLINK("https://lite.ip2location.com/")</f>
        <v>https://lite.ip2location.com/</v>
      </c>
      <c r="I22" s="21"/>
      <c r="J22" s="21"/>
      <c r="K22" s="21"/>
      <c r="L22" s="21"/>
      <c r="M22" s="21"/>
      <c r="N22" s="21"/>
      <c r="O22" s="21"/>
      <c r="P22" s="21"/>
      <c r="Q22" s="21"/>
      <c r="R22" s="21"/>
      <c r="S22" s="21"/>
      <c r="T22" s="21"/>
      <c r="U22" s="21"/>
      <c r="V22" s="21"/>
      <c r="W22" s="21"/>
      <c r="X22" s="21"/>
      <c r="Y22" s="21"/>
      <c r="Z22" s="21"/>
    </row>
    <row r="23">
      <c r="A23" s="30">
        <v>20.0</v>
      </c>
      <c r="B23" s="31" t="s">
        <v>529</v>
      </c>
      <c r="C23" s="31" t="s">
        <v>521</v>
      </c>
      <c r="D23" s="31" t="s">
        <v>530</v>
      </c>
      <c r="E23" s="31" t="s">
        <v>531</v>
      </c>
      <c r="F23" s="31" t="s">
        <v>433</v>
      </c>
      <c r="G23" s="31" t="s">
        <v>532</v>
      </c>
      <c r="H23" s="33" t="str">
        <f>HYPERLINK("https://lite.ip2location.com/database/ip2proxy")</f>
        <v>https://lite.ip2location.com/database/ip2proxy</v>
      </c>
      <c r="I23" s="21"/>
      <c r="J23" s="21"/>
      <c r="K23" s="21"/>
      <c r="L23" s="21"/>
      <c r="M23" s="21"/>
      <c r="N23" s="21"/>
      <c r="O23" s="21"/>
      <c r="P23" s="21"/>
      <c r="Q23" s="21"/>
      <c r="R23" s="21"/>
      <c r="S23" s="21"/>
      <c r="T23" s="21"/>
      <c r="U23" s="21"/>
      <c r="V23" s="21"/>
      <c r="W23" s="21"/>
      <c r="X23" s="21"/>
      <c r="Y23" s="21"/>
      <c r="Z23" s="21"/>
    </row>
    <row r="24">
      <c r="A24" s="30">
        <v>21.0</v>
      </c>
      <c r="B24" s="31" t="s">
        <v>533</v>
      </c>
      <c r="C24" s="31" t="s">
        <v>534</v>
      </c>
      <c r="D24" s="31" t="s">
        <v>535</v>
      </c>
      <c r="E24" s="31" t="s">
        <v>536</v>
      </c>
      <c r="F24" s="31" t="s">
        <v>450</v>
      </c>
      <c r="G24" s="31" t="s">
        <v>537</v>
      </c>
      <c r="H24" s="33" t="str">
        <f>HYPERLINK("https://www.abuseipdb.com/api")</f>
        <v>https://www.abuseipdb.com/api</v>
      </c>
      <c r="I24" s="21"/>
      <c r="J24" s="21"/>
      <c r="K24" s="21"/>
      <c r="L24" s="21"/>
      <c r="M24" s="21"/>
      <c r="N24" s="21"/>
      <c r="O24" s="21"/>
      <c r="P24" s="21"/>
      <c r="Q24" s="21"/>
      <c r="R24" s="21"/>
      <c r="S24" s="21"/>
      <c r="T24" s="21"/>
      <c r="U24" s="21"/>
      <c r="V24" s="21"/>
      <c r="W24" s="21"/>
      <c r="X24" s="21"/>
      <c r="Y24" s="21"/>
      <c r="Z24" s="21"/>
    </row>
    <row r="25">
      <c r="A25" s="30">
        <v>22.0</v>
      </c>
      <c r="B25" s="31" t="s">
        <v>538</v>
      </c>
      <c r="C25" s="31" t="s">
        <v>59</v>
      </c>
      <c r="D25" s="31" t="s">
        <v>539</v>
      </c>
      <c r="E25" s="31" t="s">
        <v>540</v>
      </c>
      <c r="F25" s="31" t="s">
        <v>541</v>
      </c>
      <c r="G25" s="31" t="s">
        <v>542</v>
      </c>
      <c r="H25" s="33" t="str">
        <f>HYPERLINK("https://pypi.org/project/phonenumbers/")</f>
        <v>https://pypi.org/project/phonenumbers/</v>
      </c>
      <c r="I25" s="21"/>
      <c r="J25" s="21"/>
      <c r="K25" s="21"/>
      <c r="L25" s="21"/>
      <c r="M25" s="21"/>
      <c r="N25" s="21"/>
      <c r="O25" s="21"/>
      <c r="P25" s="21"/>
      <c r="Q25" s="21"/>
      <c r="R25" s="21"/>
      <c r="S25" s="21"/>
      <c r="T25" s="21"/>
      <c r="U25" s="21"/>
      <c r="V25" s="21"/>
      <c r="W25" s="21"/>
      <c r="X25" s="21"/>
      <c r="Y25" s="21"/>
      <c r="Z25" s="21"/>
    </row>
    <row r="26">
      <c r="A26" s="30">
        <v>23.0</v>
      </c>
      <c r="B26" s="31" t="s">
        <v>543</v>
      </c>
      <c r="C26" s="31" t="s">
        <v>544</v>
      </c>
      <c r="D26" s="31" t="s">
        <v>545</v>
      </c>
      <c r="E26" s="31" t="s">
        <v>546</v>
      </c>
      <c r="F26" s="31" t="s">
        <v>547</v>
      </c>
      <c r="G26" s="31" t="s">
        <v>548</v>
      </c>
      <c r="H26" s="33" t="str">
        <f>HYPERLINK("https://dot.gov.in/")</f>
        <v>https://dot.gov.in/</v>
      </c>
      <c r="I26" s="21"/>
      <c r="J26" s="21"/>
      <c r="K26" s="21"/>
      <c r="L26" s="21"/>
      <c r="M26" s="21"/>
      <c r="N26" s="21"/>
      <c r="O26" s="21"/>
      <c r="P26" s="21"/>
      <c r="Q26" s="21"/>
      <c r="R26" s="21"/>
      <c r="S26" s="21"/>
      <c r="T26" s="21"/>
      <c r="U26" s="21"/>
      <c r="V26" s="21"/>
      <c r="W26" s="21"/>
      <c r="X26" s="21"/>
      <c r="Y26" s="21"/>
      <c r="Z26" s="21"/>
    </row>
    <row r="27">
      <c r="A27" s="30">
        <v>24.0</v>
      </c>
      <c r="B27" s="31" t="s">
        <v>549</v>
      </c>
      <c r="C27" s="31" t="s">
        <v>550</v>
      </c>
      <c r="D27" s="31" t="s">
        <v>551</v>
      </c>
      <c r="E27" s="31" t="s">
        <v>552</v>
      </c>
      <c r="F27" s="31" t="s">
        <v>553</v>
      </c>
      <c r="G27" s="31" t="s">
        <v>554</v>
      </c>
      <c r="H27" s="33" t="str">
        <f>HYPERLINK("https://www.twilio.com/docs/lookup")</f>
        <v>https://www.twilio.com/docs/lookup</v>
      </c>
      <c r="I27" s="21"/>
      <c r="J27" s="21"/>
      <c r="K27" s="21"/>
      <c r="L27" s="21"/>
      <c r="M27" s="21"/>
      <c r="N27" s="21"/>
      <c r="O27" s="21"/>
      <c r="P27" s="21"/>
      <c r="Q27" s="21"/>
      <c r="R27" s="21"/>
      <c r="S27" s="21"/>
      <c r="T27" s="21"/>
      <c r="U27" s="21"/>
      <c r="V27" s="21"/>
      <c r="W27" s="21"/>
      <c r="X27" s="21"/>
      <c r="Y27" s="21"/>
      <c r="Z27" s="21"/>
    </row>
    <row r="28">
      <c r="A28" s="30">
        <v>25.0</v>
      </c>
      <c r="B28" s="31" t="s">
        <v>555</v>
      </c>
      <c r="C28" s="31" t="s">
        <v>163</v>
      </c>
      <c r="D28" s="31" t="s">
        <v>556</v>
      </c>
      <c r="E28" s="31" t="s">
        <v>557</v>
      </c>
      <c r="F28" s="31" t="s">
        <v>433</v>
      </c>
      <c r="G28" s="31" t="s">
        <v>558</v>
      </c>
      <c r="H28" s="33" t="str">
        <f>HYPERLINK("https://ifsc.razorpay.com/HDFC0000001")</f>
        <v>https://ifsc.razorpay.com/HDFC0000001</v>
      </c>
      <c r="I28" s="21"/>
      <c r="J28" s="21"/>
      <c r="K28" s="21"/>
      <c r="L28" s="21"/>
      <c r="M28" s="21"/>
      <c r="N28" s="21"/>
      <c r="O28" s="21"/>
      <c r="P28" s="21"/>
      <c r="Q28" s="21"/>
      <c r="R28" s="21"/>
      <c r="S28" s="21"/>
      <c r="T28" s="21"/>
      <c r="U28" s="21"/>
      <c r="V28" s="21"/>
      <c r="W28" s="21"/>
      <c r="X28" s="21"/>
      <c r="Y28" s="21"/>
      <c r="Z28" s="21"/>
    </row>
    <row r="29">
      <c r="A29" s="30">
        <v>26.0</v>
      </c>
      <c r="B29" s="31" t="s">
        <v>559</v>
      </c>
      <c r="C29" s="31" t="s">
        <v>560</v>
      </c>
      <c r="D29" s="31" t="s">
        <v>561</v>
      </c>
      <c r="E29" s="31" t="s">
        <v>562</v>
      </c>
      <c r="F29" s="31" t="s">
        <v>433</v>
      </c>
      <c r="G29" s="31" t="s">
        <v>563</v>
      </c>
      <c r="H29" s="33" t="str">
        <f>HYPERLINK("https://www.rbi.org.in/Scripts/IFSCMICRDetails.aspx")</f>
        <v>https://www.rbi.org.in/Scripts/IFSCMICRDetails.aspx</v>
      </c>
      <c r="I29" s="21"/>
      <c r="J29" s="21"/>
      <c r="K29" s="21"/>
      <c r="L29" s="21"/>
      <c r="M29" s="21"/>
      <c r="N29" s="21"/>
      <c r="O29" s="21"/>
      <c r="P29" s="21"/>
      <c r="Q29" s="21"/>
      <c r="R29" s="21"/>
      <c r="S29" s="21"/>
      <c r="T29" s="21"/>
      <c r="U29" s="21"/>
      <c r="V29" s="21"/>
      <c r="W29" s="21"/>
      <c r="X29" s="21"/>
      <c r="Y29" s="21"/>
      <c r="Z29" s="21"/>
    </row>
    <row r="30">
      <c r="A30" s="30">
        <v>27.0</v>
      </c>
      <c r="B30" s="31" t="s">
        <v>564</v>
      </c>
      <c r="C30" s="31" t="s">
        <v>565</v>
      </c>
      <c r="D30" s="31" t="s">
        <v>566</v>
      </c>
      <c r="E30" s="31" t="s">
        <v>567</v>
      </c>
      <c r="F30" s="31" t="s">
        <v>568</v>
      </c>
      <c r="G30" s="31" t="s">
        <v>569</v>
      </c>
      <c r="H30" s="33" t="str">
        <f>HYPERLINK("https://developer.mozilla.org/en-US/docs/Web/API/Geolocation_API")</f>
        <v>https://developer.mozilla.org/en-US/docs/Web/API/Geolocation_API</v>
      </c>
      <c r="I30" s="21"/>
      <c r="J30" s="21"/>
      <c r="K30" s="21"/>
      <c r="L30" s="21"/>
      <c r="M30" s="21"/>
      <c r="N30" s="21"/>
      <c r="O30" s="21"/>
      <c r="P30" s="21"/>
      <c r="Q30" s="21"/>
      <c r="R30" s="21"/>
      <c r="S30" s="21"/>
      <c r="T30" s="21"/>
      <c r="U30" s="21"/>
      <c r="V30" s="21"/>
      <c r="W30" s="21"/>
      <c r="X30" s="21"/>
      <c r="Y30" s="21"/>
      <c r="Z30" s="21"/>
    </row>
    <row r="31">
      <c r="A31" s="30">
        <v>28.0</v>
      </c>
      <c r="B31" s="31" t="s">
        <v>570</v>
      </c>
      <c r="C31" s="31" t="s">
        <v>571</v>
      </c>
      <c r="D31" s="31" t="s">
        <v>572</v>
      </c>
      <c r="E31" s="31" t="s">
        <v>573</v>
      </c>
      <c r="F31" s="31" t="s">
        <v>574</v>
      </c>
      <c r="G31" s="31" t="s">
        <v>575</v>
      </c>
      <c r="H31" s="33" t="str">
        <f>HYPERLINK("https://developers.google.com/maps/documentation/geolocation/overview")</f>
        <v>https://developers.google.com/maps/documentation/geolocation/overview</v>
      </c>
      <c r="I31" s="21"/>
      <c r="J31" s="21"/>
      <c r="K31" s="21"/>
      <c r="L31" s="21"/>
      <c r="M31" s="21"/>
      <c r="N31" s="21"/>
      <c r="O31" s="21"/>
      <c r="P31" s="21"/>
      <c r="Q31" s="21"/>
      <c r="R31" s="21"/>
      <c r="S31" s="21"/>
      <c r="T31" s="21"/>
      <c r="U31" s="21"/>
      <c r="V31" s="21"/>
      <c r="W31" s="21"/>
      <c r="X31" s="21"/>
      <c r="Y31" s="21"/>
      <c r="Z31" s="21"/>
    </row>
    <row r="32">
      <c r="A32" s="30">
        <v>29.0</v>
      </c>
      <c r="B32" s="31" t="s">
        <v>576</v>
      </c>
      <c r="C32" s="35"/>
      <c r="D32" s="35"/>
      <c r="E32" s="35"/>
      <c r="F32" s="31" t="s">
        <v>462</v>
      </c>
      <c r="G32" s="31" t="s">
        <v>577</v>
      </c>
      <c r="H32" s="35"/>
      <c r="I32" s="21"/>
      <c r="J32" s="21"/>
      <c r="K32" s="21"/>
      <c r="L32" s="21"/>
      <c r="M32" s="21"/>
      <c r="N32" s="21"/>
      <c r="O32" s="21"/>
      <c r="P32" s="21"/>
      <c r="Q32" s="21"/>
      <c r="R32" s="21"/>
      <c r="S32" s="21"/>
      <c r="T32" s="21"/>
      <c r="U32" s="21"/>
      <c r="V32" s="21"/>
      <c r="W32" s="21"/>
      <c r="X32" s="21"/>
      <c r="Y32" s="21"/>
      <c r="Z32" s="21"/>
    </row>
    <row r="33">
      <c r="A33" s="30">
        <v>30.0</v>
      </c>
      <c r="B33" s="31" t="s">
        <v>578</v>
      </c>
      <c r="C33" s="31" t="s">
        <v>579</v>
      </c>
      <c r="D33" s="31" t="s">
        <v>580</v>
      </c>
      <c r="E33" s="31" t="s">
        <v>581</v>
      </c>
      <c r="F33" s="31" t="s">
        <v>582</v>
      </c>
      <c r="G33" s="31" t="s">
        <v>583</v>
      </c>
      <c r="H33" s="32" t="s">
        <v>584</v>
      </c>
      <c r="I33" s="21"/>
      <c r="J33" s="21"/>
      <c r="K33" s="21"/>
      <c r="L33" s="21"/>
      <c r="M33" s="21"/>
      <c r="N33" s="21"/>
      <c r="O33" s="21"/>
      <c r="P33" s="21"/>
      <c r="Q33" s="21"/>
      <c r="R33" s="21"/>
      <c r="S33" s="21"/>
      <c r="T33" s="21"/>
      <c r="U33" s="21"/>
      <c r="V33" s="21"/>
      <c r="W33" s="21"/>
      <c r="X33" s="21"/>
      <c r="Y33" s="21"/>
      <c r="Z33" s="21"/>
    </row>
    <row r="34">
      <c r="A34" s="30">
        <v>31.0</v>
      </c>
      <c r="B34" s="31" t="s">
        <v>585</v>
      </c>
      <c r="C34" s="31" t="s">
        <v>586</v>
      </c>
      <c r="D34" s="31" t="s">
        <v>587</v>
      </c>
      <c r="E34" s="31" t="s">
        <v>588</v>
      </c>
      <c r="F34" s="31" t="s">
        <v>589</v>
      </c>
      <c r="G34" s="31" t="s">
        <v>590</v>
      </c>
      <c r="H34" s="33" t="str">
        <f>HYPERLINK("https://www.ckycindia.in/ckyc/")</f>
        <v>https://www.ckycindia.in/ckyc/</v>
      </c>
      <c r="I34" s="21"/>
      <c r="J34" s="21"/>
      <c r="K34" s="21"/>
      <c r="L34" s="21"/>
      <c r="M34" s="21"/>
      <c r="N34" s="21"/>
      <c r="O34" s="21"/>
      <c r="P34" s="21"/>
      <c r="Q34" s="21"/>
      <c r="R34" s="21"/>
      <c r="S34" s="21"/>
      <c r="T34" s="21"/>
      <c r="U34" s="21"/>
      <c r="V34" s="21"/>
      <c r="W34" s="21"/>
      <c r="X34" s="21"/>
      <c r="Y34" s="21"/>
      <c r="Z34" s="21"/>
    </row>
    <row r="35">
      <c r="A35" s="30">
        <v>32.0</v>
      </c>
      <c r="B35" s="31" t="s">
        <v>591</v>
      </c>
      <c r="C35" s="31" t="s">
        <v>592</v>
      </c>
      <c r="D35" s="31" t="s">
        <v>593</v>
      </c>
      <c r="E35" s="31" t="s">
        <v>594</v>
      </c>
      <c r="F35" s="31" t="s">
        <v>595</v>
      </c>
      <c r="G35" s="31" t="s">
        <v>596</v>
      </c>
      <c r="H35" s="33" t="str">
        <f>HYPERLINK("https://sahamati.org.in/")</f>
        <v>https://sahamati.org.in/</v>
      </c>
      <c r="I35" s="21"/>
      <c r="J35" s="21"/>
      <c r="K35" s="21"/>
      <c r="L35" s="21"/>
      <c r="M35" s="21"/>
      <c r="N35" s="21"/>
      <c r="O35" s="21"/>
      <c r="P35" s="21"/>
      <c r="Q35" s="21"/>
      <c r="R35" s="21"/>
      <c r="S35" s="21"/>
      <c r="T35" s="21"/>
      <c r="U35" s="21"/>
      <c r="V35" s="21"/>
      <c r="W35" s="21"/>
      <c r="X35" s="21"/>
      <c r="Y35" s="21"/>
      <c r="Z35" s="21"/>
    </row>
    <row r="36">
      <c r="A36" s="30">
        <v>33.0</v>
      </c>
      <c r="B36" s="31" t="s">
        <v>597</v>
      </c>
      <c r="C36" s="31" t="s">
        <v>598</v>
      </c>
      <c r="D36" s="31" t="s">
        <v>599</v>
      </c>
      <c r="E36" s="31" t="s">
        <v>600</v>
      </c>
      <c r="F36" s="31" t="s">
        <v>433</v>
      </c>
      <c r="G36" s="31" t="s">
        <v>601</v>
      </c>
      <c r="H36" s="33" t="str">
        <f>HYPERLINK("https://ecourts.gov.in/")</f>
        <v>https://ecourts.gov.in/</v>
      </c>
      <c r="I36" s="21"/>
      <c r="J36" s="21"/>
      <c r="K36" s="21"/>
      <c r="L36" s="21"/>
      <c r="M36" s="21"/>
      <c r="N36" s="21"/>
      <c r="O36" s="21"/>
      <c r="P36" s="21"/>
      <c r="Q36" s="21"/>
      <c r="R36" s="21"/>
      <c r="S36" s="21"/>
      <c r="T36" s="21"/>
      <c r="U36" s="21"/>
      <c r="V36" s="21"/>
      <c r="W36" s="21"/>
      <c r="X36" s="21"/>
      <c r="Y36" s="21"/>
      <c r="Z36" s="21"/>
    </row>
    <row r="37">
      <c r="A37" s="30">
        <v>34.0</v>
      </c>
      <c r="B37" s="31" t="s">
        <v>602</v>
      </c>
      <c r="C37" s="31" t="s">
        <v>603</v>
      </c>
      <c r="D37" s="31" t="s">
        <v>604</v>
      </c>
      <c r="E37" s="31" t="s">
        <v>605</v>
      </c>
      <c r="F37" s="31" t="s">
        <v>606</v>
      </c>
      <c r="G37" s="31" t="s">
        <v>607</v>
      </c>
      <c r="H37" s="32" t="s">
        <v>608</v>
      </c>
      <c r="I37" s="21"/>
      <c r="J37" s="21"/>
      <c r="K37" s="21"/>
      <c r="L37" s="21"/>
      <c r="M37" s="21"/>
      <c r="N37" s="21"/>
      <c r="O37" s="21"/>
      <c r="P37" s="21"/>
      <c r="Q37" s="21"/>
      <c r="R37" s="21"/>
      <c r="S37" s="21"/>
      <c r="T37" s="21"/>
      <c r="U37" s="21"/>
      <c r="V37" s="21"/>
      <c r="W37" s="21"/>
      <c r="X37" s="21"/>
      <c r="Y37" s="21"/>
      <c r="Z37" s="21"/>
    </row>
    <row r="38">
      <c r="A38" s="30">
        <v>35.0</v>
      </c>
      <c r="B38" s="31" t="s">
        <v>609</v>
      </c>
      <c r="C38" s="31" t="s">
        <v>610</v>
      </c>
      <c r="D38" s="31" t="s">
        <v>611</v>
      </c>
      <c r="E38" s="31" t="s">
        <v>612</v>
      </c>
      <c r="F38" s="31" t="s">
        <v>462</v>
      </c>
      <c r="G38" s="31" t="s">
        <v>613</v>
      </c>
      <c r="H38" s="32" t="s">
        <v>614</v>
      </c>
      <c r="I38" s="21"/>
      <c r="J38" s="21"/>
      <c r="K38" s="21"/>
      <c r="L38" s="21"/>
      <c r="M38" s="21"/>
      <c r="N38" s="21"/>
      <c r="O38" s="21"/>
      <c r="P38" s="21"/>
      <c r="Q38" s="21"/>
      <c r="R38" s="21"/>
      <c r="S38" s="21"/>
      <c r="T38" s="21"/>
      <c r="U38" s="21"/>
      <c r="V38" s="21"/>
      <c r="W38" s="21"/>
      <c r="X38" s="21"/>
      <c r="Y38" s="21"/>
      <c r="Z38" s="21"/>
    </row>
    <row r="39">
      <c r="A39" s="30">
        <v>36.0</v>
      </c>
      <c r="B39" s="31" t="s">
        <v>615</v>
      </c>
      <c r="C39" s="31" t="s">
        <v>616</v>
      </c>
      <c r="D39" s="31" t="s">
        <v>617</v>
      </c>
      <c r="E39" s="31" t="s">
        <v>618</v>
      </c>
      <c r="F39" s="31" t="s">
        <v>619</v>
      </c>
      <c r="G39" s="31" t="s">
        <v>620</v>
      </c>
      <c r="H39" s="32" t="s">
        <v>621</v>
      </c>
      <c r="I39" s="21"/>
      <c r="J39" s="21"/>
      <c r="K39" s="21"/>
      <c r="L39" s="21"/>
      <c r="M39" s="21"/>
      <c r="N39" s="21"/>
      <c r="O39" s="21"/>
      <c r="P39" s="21"/>
      <c r="Q39" s="21"/>
      <c r="R39" s="21"/>
      <c r="S39" s="21"/>
      <c r="T39" s="21"/>
      <c r="U39" s="21"/>
      <c r="V39" s="21"/>
      <c r="W39" s="21"/>
      <c r="X39" s="21"/>
      <c r="Y39" s="21"/>
      <c r="Z39" s="21"/>
    </row>
    <row r="40">
      <c r="A40" s="30">
        <v>37.0</v>
      </c>
      <c r="B40" s="31" t="s">
        <v>622</v>
      </c>
      <c r="C40" s="31" t="s">
        <v>623</v>
      </c>
      <c r="D40" s="31" t="s">
        <v>624</v>
      </c>
      <c r="E40" s="31" t="s">
        <v>625</v>
      </c>
      <c r="F40" s="31" t="s">
        <v>626</v>
      </c>
      <c r="G40" s="31" t="s">
        <v>627</v>
      </c>
      <c r="H40" s="33" t="str">
        <f>HYPERLINK("https://haveibeenpwned.com/API/v3")</f>
        <v>https://haveibeenpwned.com/API/v3</v>
      </c>
      <c r="I40" s="21"/>
      <c r="J40" s="21"/>
      <c r="K40" s="21"/>
      <c r="L40" s="21"/>
      <c r="M40" s="21"/>
      <c r="N40" s="21"/>
      <c r="O40" s="21"/>
      <c r="P40" s="21"/>
      <c r="Q40" s="21"/>
      <c r="R40" s="21"/>
      <c r="S40" s="21"/>
      <c r="T40" s="21"/>
      <c r="U40" s="21"/>
      <c r="V40" s="21"/>
      <c r="W40" s="21"/>
      <c r="X40" s="21"/>
      <c r="Y40" s="21"/>
      <c r="Z40" s="21"/>
    </row>
    <row r="41">
      <c r="A41" s="30">
        <v>38.0</v>
      </c>
      <c r="B41" s="31" t="s">
        <v>628</v>
      </c>
      <c r="C41" s="31" t="s">
        <v>629</v>
      </c>
      <c r="D41" s="31" t="s">
        <v>630</v>
      </c>
      <c r="E41" s="31" t="s">
        <v>631</v>
      </c>
      <c r="F41" s="31" t="s">
        <v>632</v>
      </c>
      <c r="G41" s="31" t="s">
        <v>633</v>
      </c>
      <c r="H41" s="33" t="str">
        <f>HYPERLINK("https://docs.x.com/x-api")</f>
        <v>https://docs.x.com/x-api</v>
      </c>
      <c r="I41" s="21"/>
      <c r="J41" s="21"/>
      <c r="K41" s="21"/>
      <c r="L41" s="21"/>
      <c r="M41" s="21"/>
      <c r="N41" s="21"/>
      <c r="O41" s="21"/>
      <c r="P41" s="21"/>
      <c r="Q41" s="21"/>
      <c r="R41" s="21"/>
      <c r="S41" s="21"/>
      <c r="T41" s="21"/>
      <c r="U41" s="21"/>
      <c r="V41" s="21"/>
      <c r="W41" s="21"/>
      <c r="X41" s="21"/>
      <c r="Y41" s="21"/>
      <c r="Z41" s="21"/>
    </row>
    <row r="42">
      <c r="A42" s="30">
        <v>39.0</v>
      </c>
      <c r="B42" s="31" t="s">
        <v>634</v>
      </c>
      <c r="C42" s="31" t="s">
        <v>635</v>
      </c>
      <c r="D42" s="31" t="s">
        <v>636</v>
      </c>
      <c r="E42" s="31" t="s">
        <v>637</v>
      </c>
      <c r="F42" s="31" t="s">
        <v>638</v>
      </c>
      <c r="G42" s="31" t="s">
        <v>639</v>
      </c>
      <c r="H42" s="33" t="str">
        <f>HYPERLINK("https://learn.microsoft.com/en-us/linkedin/shared/integrations/people/profile-api")</f>
        <v>https://learn.microsoft.com/en-us/linkedin/shared/integrations/people/profile-api</v>
      </c>
      <c r="I42" s="21"/>
      <c r="J42" s="21"/>
      <c r="K42" s="21"/>
      <c r="L42" s="21"/>
      <c r="M42" s="21"/>
      <c r="N42" s="21"/>
      <c r="O42" s="21"/>
      <c r="P42" s="21"/>
      <c r="Q42" s="21"/>
      <c r="R42" s="21"/>
      <c r="S42" s="21"/>
      <c r="T42" s="21"/>
      <c r="U42" s="21"/>
      <c r="V42" s="21"/>
      <c r="W42" s="21"/>
      <c r="X42" s="21"/>
      <c r="Y42" s="21"/>
      <c r="Z42" s="21"/>
    </row>
    <row r="43">
      <c r="A43" s="30">
        <v>40.0</v>
      </c>
      <c r="B43" s="31" t="s">
        <v>640</v>
      </c>
      <c r="C43" s="31" t="s">
        <v>641</v>
      </c>
      <c r="D43" s="31" t="s">
        <v>642</v>
      </c>
      <c r="E43" s="31" t="s">
        <v>643</v>
      </c>
      <c r="F43" s="31" t="s">
        <v>632</v>
      </c>
      <c r="G43" s="31" t="s">
        <v>644</v>
      </c>
      <c r="H43" s="32" t="s">
        <v>645</v>
      </c>
      <c r="I43" s="21"/>
      <c r="J43" s="21"/>
      <c r="K43" s="21"/>
      <c r="L43" s="21"/>
      <c r="M43" s="21"/>
      <c r="N43" s="21"/>
      <c r="O43" s="21"/>
      <c r="P43" s="21"/>
      <c r="Q43" s="21"/>
      <c r="R43" s="21"/>
      <c r="S43" s="21"/>
      <c r="T43" s="21"/>
      <c r="U43" s="21"/>
      <c r="V43" s="21"/>
      <c r="W43" s="21"/>
      <c r="X43" s="21"/>
      <c r="Y43" s="21"/>
      <c r="Z43" s="21"/>
    </row>
    <row r="44">
      <c r="A44" s="30">
        <v>41.0</v>
      </c>
      <c r="B44" s="31" t="s">
        <v>646</v>
      </c>
      <c r="C44" s="31" t="s">
        <v>647</v>
      </c>
      <c r="D44" s="31" t="s">
        <v>648</v>
      </c>
      <c r="E44" s="31" t="s">
        <v>649</v>
      </c>
      <c r="F44" s="31" t="s">
        <v>632</v>
      </c>
      <c r="G44" s="31" t="s">
        <v>650</v>
      </c>
      <c r="H44" s="32" t="s">
        <v>651</v>
      </c>
      <c r="I44" s="21"/>
      <c r="J44" s="21"/>
      <c r="K44" s="21"/>
      <c r="L44" s="21"/>
      <c r="M44" s="21"/>
      <c r="N44" s="21"/>
      <c r="O44" s="21"/>
      <c r="P44" s="21"/>
      <c r="Q44" s="21"/>
      <c r="R44" s="21"/>
      <c r="S44" s="21"/>
      <c r="T44" s="21"/>
      <c r="U44" s="21"/>
      <c r="V44" s="21"/>
      <c r="W44" s="21"/>
      <c r="X44" s="21"/>
      <c r="Y44" s="21"/>
      <c r="Z44" s="21"/>
    </row>
    <row r="45">
      <c r="A45" s="30">
        <v>42.0</v>
      </c>
      <c r="B45" s="31" t="s">
        <v>652</v>
      </c>
      <c r="C45" s="31" t="s">
        <v>59</v>
      </c>
      <c r="D45" s="31" t="s">
        <v>653</v>
      </c>
      <c r="E45" s="31" t="s">
        <v>654</v>
      </c>
      <c r="F45" s="31" t="s">
        <v>632</v>
      </c>
      <c r="G45" s="31" t="s">
        <v>655</v>
      </c>
      <c r="H45" s="32" t="s">
        <v>656</v>
      </c>
      <c r="I45" s="21"/>
      <c r="J45" s="21"/>
      <c r="K45" s="21"/>
      <c r="L45" s="21"/>
      <c r="M45" s="21"/>
      <c r="N45" s="21"/>
      <c r="O45" s="21"/>
      <c r="P45" s="21"/>
      <c r="Q45" s="21"/>
      <c r="R45" s="21"/>
      <c r="S45" s="21"/>
      <c r="T45" s="21"/>
      <c r="U45" s="21"/>
      <c r="V45" s="21"/>
      <c r="W45" s="21"/>
      <c r="X45" s="21"/>
      <c r="Y45" s="21"/>
      <c r="Z45" s="21"/>
    </row>
    <row r="46">
      <c r="A46" s="30">
        <v>43.0</v>
      </c>
      <c r="B46" s="31" t="s">
        <v>657</v>
      </c>
      <c r="C46" s="31" t="s">
        <v>658</v>
      </c>
      <c r="D46" s="31" t="s">
        <v>659</v>
      </c>
      <c r="E46" s="31" t="s">
        <v>660</v>
      </c>
      <c r="F46" s="31" t="s">
        <v>632</v>
      </c>
      <c r="G46" s="31" t="s">
        <v>661</v>
      </c>
      <c r="H46" s="32" t="s">
        <v>651</v>
      </c>
      <c r="I46" s="21"/>
      <c r="J46" s="21"/>
      <c r="K46" s="21"/>
      <c r="L46" s="21"/>
      <c r="M46" s="21"/>
      <c r="N46" s="21"/>
      <c r="O46" s="21"/>
      <c r="P46" s="21"/>
      <c r="Q46" s="21"/>
      <c r="R46" s="21"/>
      <c r="S46" s="21"/>
      <c r="T46" s="21"/>
      <c r="U46" s="21"/>
      <c r="V46" s="21"/>
      <c r="W46" s="21"/>
      <c r="X46" s="21"/>
      <c r="Y46" s="21"/>
      <c r="Z46" s="21"/>
    </row>
    <row r="47">
      <c r="A47" s="30">
        <v>44.0</v>
      </c>
      <c r="B47" s="31" t="s">
        <v>662</v>
      </c>
      <c r="C47" s="31" t="s">
        <v>663</v>
      </c>
      <c r="D47" s="31" t="s">
        <v>664</v>
      </c>
      <c r="E47" s="31" t="s">
        <v>665</v>
      </c>
      <c r="F47" s="31" t="s">
        <v>632</v>
      </c>
      <c r="G47" s="31" t="s">
        <v>666</v>
      </c>
      <c r="H47" s="32" t="s">
        <v>651</v>
      </c>
      <c r="I47" s="21"/>
      <c r="J47" s="21"/>
      <c r="K47" s="21"/>
      <c r="L47" s="21"/>
      <c r="M47" s="21"/>
      <c r="N47" s="21"/>
      <c r="O47" s="21"/>
      <c r="P47" s="21"/>
      <c r="Q47" s="21"/>
      <c r="R47" s="21"/>
      <c r="S47" s="21"/>
      <c r="T47" s="21"/>
      <c r="U47" s="21"/>
      <c r="V47" s="21"/>
      <c r="W47" s="21"/>
      <c r="X47" s="21"/>
      <c r="Y47" s="21"/>
      <c r="Z47" s="21"/>
    </row>
    <row r="48">
      <c r="A48" s="30">
        <v>45.0</v>
      </c>
      <c r="B48" s="31" t="s">
        <v>667</v>
      </c>
      <c r="C48" s="31" t="s">
        <v>668</v>
      </c>
      <c r="D48" s="31" t="s">
        <v>669</v>
      </c>
      <c r="E48" s="31" t="s">
        <v>670</v>
      </c>
      <c r="F48" s="31" t="s">
        <v>632</v>
      </c>
      <c r="G48" s="31" t="s">
        <v>671</v>
      </c>
      <c r="H48" s="32" t="s">
        <v>651</v>
      </c>
      <c r="I48" s="21"/>
      <c r="J48" s="21"/>
      <c r="K48" s="21"/>
      <c r="L48" s="21"/>
      <c r="M48" s="21"/>
      <c r="N48" s="21"/>
      <c r="O48" s="21"/>
      <c r="P48" s="21"/>
      <c r="Q48" s="21"/>
      <c r="R48" s="21"/>
      <c r="S48" s="21"/>
      <c r="T48" s="21"/>
      <c r="U48" s="21"/>
      <c r="V48" s="21"/>
      <c r="W48" s="21"/>
      <c r="X48" s="21"/>
      <c r="Y48" s="21"/>
      <c r="Z48" s="21"/>
    </row>
    <row r="49">
      <c r="A49" s="30">
        <v>46.0</v>
      </c>
      <c r="B49" s="31" t="s">
        <v>672</v>
      </c>
      <c r="C49" s="31" t="s">
        <v>673</v>
      </c>
      <c r="D49" s="31" t="s">
        <v>674</v>
      </c>
      <c r="E49" s="31" t="s">
        <v>675</v>
      </c>
      <c r="F49" s="31" t="s">
        <v>632</v>
      </c>
      <c r="G49" s="31" t="s">
        <v>676</v>
      </c>
      <c r="H49" s="32" t="s">
        <v>651</v>
      </c>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2">
    <mergeCell ref="A1:H1"/>
    <mergeCell ref="A2:H2"/>
  </mergeCells>
  <drawing r:id="rId1"/>
</worksheet>
</file>